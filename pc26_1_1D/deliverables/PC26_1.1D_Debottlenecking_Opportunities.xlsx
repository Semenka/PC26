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_Summary" sheetId="2" state="visible" r:id="rId2"/>
    <sheet name="Field_Baseline" sheetId="3" state="visible" r:id="rId3"/>
    <sheet name="_chart_data" sheetId="4" state="hidden" r:id="rId4"/>
    <sheet name="Bottleneck_Map" sheetId="5" state="visible" r:id="rId5"/>
    <sheet name="Opportunities_Summary" sheetId="6" state="visible" r:id="rId6"/>
    <sheet name="Gain_Bridge" sheetId="7" state="visible" r:id="rId7"/>
    <sheet name="Capex_vs_Gain" sheetId="8" state="visible" r:id="rId8"/>
    <sheet name="Opp_4.5" sheetId="9" state="visible" r:id="rId9"/>
    <sheet name="Opp_4.7" sheetId="10" state="visible" r:id="rId10"/>
    <sheet name="Opp_4.6" sheetId="11" state="visible" r:id="rId11"/>
    <sheet name="Opp_4.1" sheetId="12" state="visible" r:id="rId12"/>
    <sheet name="Opp_4.3" sheetId="13" state="visible" r:id="rId13"/>
    <sheet name="Opp_4.4" sheetId="14" state="visible" r:id="rId14"/>
    <sheet name="Opp_4.2" sheetId="15" state="visible" r:id="rId15"/>
    <sheet name="Opp_4.8" sheetId="16" state="visible" r:id="rId16"/>
    <sheet name="Data_Gaps" sheetId="17" state="visible" r:id="rId17"/>
    <sheet name="Field_Totals" sheetId="18" state="visible" r:id="rId18"/>
    <sheet name="Workshop_Agend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Georgia"/>
      <b val="1"/>
      <color rgb="000A2540"/>
      <sz val="20"/>
    </font>
    <font>
      <name val="Arial"/>
      <i val="1"/>
      <color rgb="0064748B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891B2"/>
      <sz val="10"/>
    </font>
    <font>
      <name val="Arial"/>
      <b val="1"/>
      <color rgb="00F59E0B"/>
      <sz val="10"/>
    </font>
    <font>
      <name val="Arial"/>
      <b val="1"/>
      <color rgb="001E3A5F"/>
      <sz val="10"/>
    </font>
    <font>
      <name val="Arial"/>
      <b val="1"/>
      <color rgb="0006B6D4"/>
      <sz val="10"/>
    </font>
  </fonts>
  <fills count="6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 vertical="center"/>
    </xf>
    <xf numFmtId="0" fontId="5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right" vertical="center"/>
    </xf>
    <xf numFmtId="0" fontId="7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7" fillId="2" borderId="1" pivotButton="0" quotePrefix="0" xfId="0"/>
    <xf numFmtId="0" fontId="7" fillId="2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5" borderId="1" pivotButton="0" quotePrefix="0" xfId="0"/>
    <xf numFmtId="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2026 realistic gain potential per opportunity (BOPD, low end)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'Exec_Summary'!E4</f>
            </strRef>
          </tx>
          <spPr>
            <a:ln>
              <a:prstDash val="solid"/>
            </a:ln>
          </spPr>
          <cat>
            <numRef>
              <f>'Exec_Summary'!$B$5:$B$12</f>
            </numRef>
          </cat>
          <val>
            <numRef>
              <f>'Exec_Summary'!$E$5:$E$12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Gain (BOPD)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Opportunity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Shah field oil — Allowable vs TR vs Actual (BOPD)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'_chart_data'!B1</f>
            </strRef>
          </tx>
          <spPr>
            <a:ln>
              <a:prstDash val="solid"/>
            </a:ln>
          </spPr>
          <cat>
            <numRef>
              <f>'_chart_data'!$A$2:$A$6</f>
            </numRef>
          </cat>
          <val>
            <numRef>
              <f>'_chart_data'!$B$2:$B$6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BOPD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BOPD lost by bottleneck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'_chart_data'!E1</f>
            </strRef>
          </tx>
          <spPr>
            <a:ln>
              <a:prstDash val="solid"/>
            </a:ln>
          </spPr>
          <cat>
            <numRef>
              <f>'_chart_data'!$D$2:$D$8</f>
            </numRef>
          </cat>
          <val>
            <numRef>
              <f>'_chart_data'!$E$2:$E$8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BOPD lost vs SH cap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2026 gain range per opportunity (low → high, BOPD)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'_chart_data'!H1</f>
            </strRef>
          </tx>
          <spPr>
            <a:ln>
              <a:prstDash val="solid"/>
            </a:ln>
          </spPr>
          <cat>
            <numRef>
              <f>'_chart_data'!$G$2:$G$9</f>
            </numRef>
          </cat>
          <val>
            <numRef>
              <f>'_chart_data'!$H$2:$H$9</f>
            </numRef>
          </val>
        </ser>
        <ser>
          <idx val="1"/>
          <order val="1"/>
          <tx>
            <strRef>
              <f>'_chart_data'!I1</f>
            </strRef>
          </tx>
          <spPr>
            <a:ln>
              <a:prstDash val="solid"/>
            </a:ln>
          </spPr>
          <cat>
            <numRef>
              <f>'_chart_data'!$G$2:$G$9</f>
            </numRef>
          </cat>
          <val>
            <numRef>
              <f>'_chart_data'!$I$2:$I$9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BOPD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Cumulative production after each de-bottlenecking step (BOPD)</a:t>
            </a:r>
          </a:p>
        </rich>
      </tx>
    </title>
    <plotArea>
      <lineChart>
        <grouping val="standard"/>
        <ser>
          <idx val="0"/>
          <order val="0"/>
          <tx>
            <strRef>
              <f>'Gain_Bridge'!D4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'Gain_Bridge'!$B$5:$B$14</f>
            </numRef>
          </cat>
          <val>
            <numRef>
              <f>'Gain_Bridge'!$D$5:$D$14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BOPD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Capex vs Gain — opportunity positioning</a:t>
            </a:r>
          </a:p>
        </rich>
      </tx>
    </title>
    <plotArea>
      <scatterChart>
        <ser>
          <idx val="0"/>
          <order val="0"/>
          <tx>
            <v>Opportunities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'Capex_vs_Gain'!$C$5:$C$12</f>
            </numRef>
          </xVal>
          <yVal>
            <numRef>
              <f>'Capex_vs_Gain'!$D$5:$D$12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Capex midpoint ($M)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2026 gain midpoint (BOPD)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§4.5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'_chart_data'!B200</f>
            </strRef>
          </tx>
          <spPr>
            <a:ln>
              <a:prstDash val="solid"/>
            </a:ln>
          </spPr>
          <cat>
            <numRef>
              <f>'_chart_data'!$A$201:$A$204</f>
            </numRef>
          </cat>
          <val>
            <numRef>
              <f>'_chart_data'!$B$201:$B$204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§4.7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'_chart_data'!B205</f>
            </strRef>
          </tx>
          <spPr>
            <a:ln>
              <a:prstDash val="solid"/>
            </a:ln>
          </spPr>
          <cat>
            <numRef>
              <f>'_chart_data'!$A$206:$A$209</f>
            </numRef>
          </cat>
          <val>
            <numRef>
              <f>'_chart_data'!$B$206:$B$209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§4.6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'_chart_data'!B210</f>
            </strRef>
          </tx>
          <spPr>
            <a:ln>
              <a:prstDash val="solid"/>
            </a:ln>
          </spPr>
          <cat>
            <numRef>
              <f>'_chart_data'!$A$211:$A$214</f>
            </numRef>
          </cat>
          <val>
            <numRef>
              <f>'_chart_data'!$B$211:$B$214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§4.1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'_chart_data'!B215</f>
            </strRef>
          </tx>
          <spPr>
            <a:ln>
              <a:prstDash val="solid"/>
            </a:ln>
          </spPr>
          <cat>
            <numRef>
              <f>'_chart_data'!$A$216:$A$219</f>
            </numRef>
          </cat>
          <val>
            <numRef>
              <f>'_chart_data'!$B$216:$B$219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§4.3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'_chart_data'!B220</f>
            </strRef>
          </tx>
          <spPr>
            <a:ln>
              <a:prstDash val="solid"/>
            </a:ln>
          </spPr>
          <cat>
            <numRef>
              <f>'_chart_data'!$A$221:$A$224</f>
            </numRef>
          </cat>
          <val>
            <numRef>
              <f>'_chart_data'!$B$221:$B$224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§4.4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'_chart_data'!B225</f>
            </strRef>
          </tx>
          <spPr>
            <a:ln>
              <a:prstDash val="solid"/>
            </a:ln>
          </spPr>
          <cat>
            <numRef>
              <f>'_chart_data'!$A$226:$A$229</f>
            </numRef>
          </cat>
          <val>
            <numRef>
              <f>'_chart_data'!$B$226:$B$229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§4.2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'_chart_data'!B230</f>
            </strRef>
          </tx>
          <spPr>
            <a:ln>
              <a:prstDash val="solid"/>
            </a:ln>
          </spPr>
          <cat>
            <numRef>
              <f>'_chart_data'!$A$231:$A$234</f>
            </numRef>
          </cat>
          <val>
            <numRef>
              <f>'_chart_data'!$B$231:$B$234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§4.8 gain range (BOPD)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'_chart_data'!B235</f>
            </strRef>
          </tx>
          <spPr>
            <a:ln>
              <a:prstDash val="solid"/>
            </a:ln>
          </spPr>
          <cat>
            <numRef>
              <f>'_chart_data'!$A$236:$A$239</f>
            </numRef>
          </cat>
          <val>
            <numRef>
              <f>'_chart_data'!$B$236:$B$239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PC26 — Obj 1.1D — Shah Field De-Bottlenecking Opportunities</t>
        </is>
      </c>
    </row>
    <row r="2">
      <c r="A2" s="2" t="inlineStr">
        <is>
          <t>Quantified opportunity catalogue — surface &amp; subsurface</t>
        </is>
      </c>
    </row>
    <row r="3">
      <c r="A3" s="3" t="inlineStr">
        <is>
          <t>Issued 19-May-2026 · TotalEnergies ALSG × ADNOC Onshore</t>
        </is>
      </c>
    </row>
    <row r="5" ht="26" customHeight="1">
      <c r="A5" s="4" t="inlineStr">
        <is>
          <t>WORKBOOK CONTENTS</t>
        </is>
      </c>
    </row>
    <row r="6">
      <c r="A6" s="5" t="inlineStr">
        <is>
          <t>Cover</t>
        </is>
      </c>
      <c r="B6" s="6" t="inlineStr">
        <is>
          <t>This sheet</t>
        </is>
      </c>
    </row>
    <row r="7">
      <c r="A7" s="5" t="inlineStr">
        <is>
          <t>Exec_Summary</t>
        </is>
      </c>
      <c r="B7" s="6" t="inlineStr">
        <is>
          <t>Headline numbers + ranking + recommended sequencing</t>
        </is>
      </c>
    </row>
    <row r="8">
      <c r="A8" s="5" t="inlineStr">
        <is>
          <t>Field_Baseline</t>
        </is>
      </c>
      <c r="B8" s="6" t="inlineStr">
        <is>
          <t>Allowable / TR / Actual breakdown — with chart</t>
        </is>
      </c>
    </row>
    <row r="9">
      <c r="A9" s="5" t="inlineStr">
        <is>
          <t>Bottleneck_Map</t>
        </is>
      </c>
      <c r="B9" s="6" t="inlineStr">
        <is>
          <t>9 root-cause categories (S1-S5, C1-C3, W1-W4) traced from RM comments</t>
        </is>
      </c>
    </row>
    <row r="10">
      <c r="A10" s="5" t="inlineStr">
        <is>
          <t>Opportunities_Summary</t>
        </is>
      </c>
      <c r="B10" s="6" t="inlineStr">
        <is>
          <t>All 8 opportunities side-by-side with gain ranges + chart</t>
        </is>
      </c>
    </row>
    <row r="11">
      <c r="A11" s="5" t="inlineStr">
        <is>
          <t>Gain_Bridge</t>
        </is>
      </c>
      <c r="B11" s="6" t="inlineStr">
        <is>
          <t>Waterfall from current 75,733 BOPD to 2026-realistic envelope</t>
        </is>
      </c>
    </row>
    <row r="12">
      <c r="A12" s="5" t="inlineStr">
        <is>
          <t>Capex_vs_Gain</t>
        </is>
      </c>
      <c r="B12" s="6" t="inlineStr">
        <is>
          <t>Bubble/scatter view — prioritization matrix</t>
        </is>
      </c>
    </row>
    <row r="13">
      <c r="A13" s="5" t="inlineStr">
        <is>
          <t>Opp_4.1 → Opp_4.8</t>
        </is>
      </c>
      <c r="B13" s="6" t="inlineStr">
        <is>
          <t>One sheet per opportunity with full narrative, mechanism, prereq, gain table</t>
        </is>
      </c>
    </row>
    <row r="14">
      <c r="A14" s="5" t="inlineStr">
        <is>
          <t>Data_Gaps</t>
        </is>
      </c>
      <c r="B14" s="6" t="inlineStr">
        <is>
          <t>Ranked list of data still required for final quantification</t>
        </is>
      </c>
    </row>
    <row r="15">
      <c r="A15" s="5" t="inlineStr">
        <is>
          <t>Field_Totals</t>
        </is>
      </c>
      <c r="B15" s="6" t="inlineStr">
        <is>
          <t>Field-level Allowable/TR/Actual numbers from Q2-2026 Allowable file</t>
        </is>
      </c>
    </row>
    <row r="16">
      <c r="A16" s="5" t="inlineStr">
        <is>
          <t>Workshop_Agenda</t>
        </is>
      </c>
      <c r="B16" s="6" t="inlineStr">
        <is>
          <t>Q3-2026 Technical WS agenda per KoM</t>
        </is>
      </c>
    </row>
    <row r="19" ht="26" customHeight="1">
      <c r="A19" s="7" t="inlineStr">
        <is>
          <t>FIELD-LEVEL HEADLINE</t>
        </is>
      </c>
    </row>
    <row r="20">
      <c r="A20" s="5" t="inlineStr">
        <is>
          <t>Current actual production</t>
        </is>
      </c>
      <c r="B20" s="8" t="inlineStr">
        <is>
          <t>75,733 BOPD</t>
        </is>
      </c>
    </row>
    <row r="21">
      <c r="A21" s="5" t="inlineStr">
        <is>
          <t>Field Technical Rate (active)</t>
        </is>
      </c>
      <c r="B21" s="8" t="inlineStr">
        <is>
          <t>79,983 BOPD</t>
        </is>
      </c>
    </row>
    <row r="22">
      <c r="A22" s="5" t="inlineStr">
        <is>
          <t>Gap vs TR</t>
        </is>
      </c>
      <c r="B22" s="8" t="inlineStr">
        <is>
          <t>4,250 BOPD (5.6 %)</t>
        </is>
      </c>
    </row>
    <row r="23">
      <c r="A23" s="5" t="inlineStr">
        <is>
          <t>Total deliverability ceiling</t>
        </is>
      </c>
      <c r="B23" s="8" t="inlineStr">
        <is>
          <t>~102,752 BOPD (incl. inactive)</t>
        </is>
      </c>
    </row>
    <row r="24">
      <c r="A24" s="5" t="inlineStr">
        <is>
          <t>2026 realistic uplift envelope</t>
        </is>
      </c>
      <c r="B24" s="8" t="inlineStr">
        <is>
          <t>~10,000–12,000 BOPD (+13 %)</t>
        </is>
      </c>
    </row>
    <row r="25">
      <c r="A25" s="5" t="inlineStr">
        <is>
          <t>Full potential envelope</t>
        </is>
      </c>
      <c r="B25" s="8" t="inlineStr">
        <is>
          <t>~22,000–27,000 BOPD</t>
        </is>
      </c>
    </row>
    <row r="26">
      <c r="A26" s="5" t="inlineStr">
        <is>
          <t>Number of de-bottlenecking opps.</t>
        </is>
      </c>
      <c r="B26" s="8" t="inlineStr">
        <is>
          <t>8 (5 subsurface + 2 surface + 1 cross-cut)</t>
        </is>
      </c>
    </row>
    <row r="27">
      <c r="A27" s="5" t="inlineStr">
        <is>
          <t>Critical missing data items</t>
        </is>
      </c>
      <c r="B27" s="8" t="inlineStr">
        <is>
          <t>9 (FCT report + IPM model top of list)</t>
        </is>
      </c>
    </row>
  </sheetData>
  <mergeCells count="24">
    <mergeCell ref="B9:H9"/>
    <mergeCell ref="B23:D23"/>
    <mergeCell ref="B6:H6"/>
    <mergeCell ref="B15:H15"/>
    <mergeCell ref="A1:H1"/>
    <mergeCell ref="B16:H16"/>
    <mergeCell ref="B7:H7"/>
    <mergeCell ref="B24:D24"/>
    <mergeCell ref="B20:D20"/>
    <mergeCell ref="A3:H3"/>
    <mergeCell ref="A2:H2"/>
    <mergeCell ref="B12:H12"/>
    <mergeCell ref="B26:D26"/>
    <mergeCell ref="A5:H5"/>
    <mergeCell ref="B11:H11"/>
    <mergeCell ref="B25:D25"/>
    <mergeCell ref="B8:H8"/>
    <mergeCell ref="B14:H14"/>
    <mergeCell ref="B13:H13"/>
    <mergeCell ref="B22:D22"/>
    <mergeCell ref="B27:D27"/>
    <mergeCell ref="A19:H19"/>
    <mergeCell ref="B21:D21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</cols>
  <sheetData>
    <row r="1" ht="28" customHeight="1">
      <c r="A1" s="1" t="inlineStr">
        <is>
          <t>Executive Summary — Top 8 De-Bottlenecking Opportunities</t>
        </is>
      </c>
    </row>
    <row r="3" ht="26" customHeight="1">
      <c r="A3" s="4" t="inlineStr">
        <is>
          <t>RANKED BY 2026-REALISTIC GAIN (BOPD)</t>
        </is>
      </c>
    </row>
    <row r="4">
      <c r="A4" s="9" t="inlineStr">
        <is>
          <t>Rank</t>
        </is>
      </c>
      <c r="B4" s="9" t="inlineStr">
        <is>
          <t>ID</t>
        </is>
      </c>
      <c r="C4" s="9" t="inlineStr">
        <is>
          <t>Opportunity</t>
        </is>
      </c>
      <c r="D4" s="9" t="inlineStr">
        <is>
          <t>Category</t>
        </is>
      </c>
      <c r="E4" s="9" t="inlineStr">
        <is>
          <t>2026 low</t>
        </is>
      </c>
      <c r="F4" s="9" t="inlineStr">
        <is>
          <t>2026 high</t>
        </is>
      </c>
      <c r="G4" s="9" t="inlineStr">
        <is>
          <t>Full low</t>
        </is>
      </c>
      <c r="H4" s="9" t="inlineStr">
        <is>
          <t>Full high</t>
        </is>
      </c>
      <c r="I4" s="9" t="inlineStr">
        <is>
          <t>Confidence</t>
        </is>
      </c>
    </row>
    <row r="5">
      <c r="A5" s="10" t="n">
        <v>1</v>
      </c>
      <c r="B5" s="10" t="inlineStr">
        <is>
          <t>4.5</t>
        </is>
      </c>
      <c r="C5" s="11" t="inlineStr">
        <is>
          <t>WI capacity uplift (SY-175 + SY-180 + cluster review)</t>
        </is>
      </c>
      <c r="D5" s="11" t="inlineStr">
        <is>
          <t>Subsurface / WI</t>
        </is>
      </c>
      <c r="E5" s="12" t="n">
        <v>2500</v>
      </c>
      <c r="F5" s="12" t="n">
        <v>4000</v>
      </c>
      <c r="G5" s="12" t="n">
        <v>4000</v>
      </c>
      <c r="H5" s="12" t="n">
        <v>5500</v>
      </c>
      <c r="I5" s="11" t="inlineStr">
        <is>
          <t>Med-High</t>
        </is>
      </c>
    </row>
    <row r="6">
      <c r="A6" s="13" t="n">
        <v>2</v>
      </c>
      <c r="B6" s="13" t="inlineStr">
        <is>
          <t>4.1</t>
        </is>
      </c>
      <c r="C6" s="14" t="inlineStr">
        <is>
          <t>Stimulation roll-out beyond Obj 1.1C</t>
        </is>
      </c>
      <c r="D6" s="14" t="inlineStr">
        <is>
          <t>Subsurface</t>
        </is>
      </c>
      <c r="E6" s="15" t="n">
        <v>2500</v>
      </c>
      <c r="F6" s="15" t="n">
        <v>2500</v>
      </c>
      <c r="G6" s="15" t="n">
        <v>5000</v>
      </c>
      <c r="H6" s="15" t="n">
        <v>6000</v>
      </c>
      <c r="I6" s="14" t="inlineStr">
        <is>
          <t>Medium</t>
        </is>
      </c>
    </row>
    <row r="7">
      <c r="A7" s="10" t="n">
        <v>3</v>
      </c>
      <c r="B7" s="10" t="inlineStr">
        <is>
          <t>4.6</t>
        </is>
      </c>
      <c r="C7" s="11" t="inlineStr">
        <is>
          <t>Produced-water redistribution + R1↔R2 rebalancing</t>
        </is>
      </c>
      <c r="D7" s="11" t="inlineStr">
        <is>
          <t>Subsurface / WI</t>
        </is>
      </c>
      <c r="E7" s="12" t="n">
        <v>2000</v>
      </c>
      <c r="F7" s="12" t="n">
        <v>2400</v>
      </c>
      <c r="G7" s="12" t="n">
        <v>2400</v>
      </c>
      <c r="H7" s="12" t="n">
        <v>3200</v>
      </c>
      <c r="I7" s="11" t="inlineStr">
        <is>
          <t>Medium</t>
        </is>
      </c>
    </row>
    <row r="8">
      <c r="A8" s="13" t="n">
        <v>4</v>
      </c>
      <c r="B8" s="13" t="inlineStr">
        <is>
          <t>4.7</t>
        </is>
      </c>
      <c r="C8" s="14" t="inlineStr">
        <is>
          <t>Surface back-pressure optimization</t>
        </is>
      </c>
      <c r="D8" s="14" t="inlineStr">
        <is>
          <t>Surface</t>
        </is>
      </c>
      <c r="E8" s="15" t="n">
        <v>1500</v>
      </c>
      <c r="F8" s="15" t="n">
        <v>2500</v>
      </c>
      <c r="G8" s="15" t="n">
        <v>2300</v>
      </c>
      <c r="H8" s="15" t="n">
        <v>3300</v>
      </c>
      <c r="I8" s="14" t="inlineStr">
        <is>
          <t>Medium</t>
        </is>
      </c>
    </row>
    <row r="9">
      <c r="A9" s="10" t="n">
        <v>5</v>
      </c>
      <c r="B9" s="10" t="inlineStr">
        <is>
          <t>4.3</t>
        </is>
      </c>
      <c r="C9" s="11" t="inlineStr">
        <is>
          <t>VSD / PWS retrofit campaign</t>
        </is>
      </c>
      <c r="D9" s="11" t="inlineStr">
        <is>
          <t>Surface / Completion</t>
        </is>
      </c>
      <c r="E9" s="12" t="n">
        <v>1600</v>
      </c>
      <c r="F9" s="12" t="n">
        <v>1600</v>
      </c>
      <c r="G9" s="12" t="n">
        <v>3300</v>
      </c>
      <c r="H9" s="12" t="n">
        <v>5500</v>
      </c>
      <c r="I9" s="11" t="inlineStr">
        <is>
          <t>High</t>
        </is>
      </c>
    </row>
    <row r="10">
      <c r="A10" s="13" t="n">
        <v>6</v>
      </c>
      <c r="B10" s="13" t="inlineStr">
        <is>
          <t>4.8</t>
        </is>
      </c>
      <c r="C10" s="14" t="inlineStr">
        <is>
          <t>Inactive-string reactivation acceleration</t>
        </is>
      </c>
      <c r="D10" s="14" t="inlineStr">
        <is>
          <t>Cross-cut Obj 1.1B</t>
        </is>
      </c>
      <c r="E10" s="15" t="n">
        <v>1000</v>
      </c>
      <c r="F10" s="15" t="n">
        <v>1000</v>
      </c>
      <c r="G10" s="15" t="n">
        <v>3920</v>
      </c>
      <c r="H10" s="15" t="n">
        <v>3920</v>
      </c>
      <c r="I10" s="14" t="inlineStr">
        <is>
          <t>High</t>
        </is>
      </c>
    </row>
    <row r="11">
      <c r="A11" s="10" t="n">
        <v>7</v>
      </c>
      <c r="B11" s="10" t="inlineStr">
        <is>
          <t>4.2</t>
        </is>
      </c>
      <c r="C11" s="11" t="inlineStr">
        <is>
          <t>BHFP rate-cap relaxation via skin reduction / PVT relocalization</t>
        </is>
      </c>
      <c r="D11" s="11" t="inlineStr">
        <is>
          <t>Subsurface</t>
        </is>
      </c>
      <c r="E11" s="12" t="n">
        <v>900</v>
      </c>
      <c r="F11" s="12" t="n">
        <v>900</v>
      </c>
      <c r="G11" s="12" t="n">
        <v>1800</v>
      </c>
      <c r="H11" s="12" t="n">
        <v>1800</v>
      </c>
      <c r="I11" s="11" t="inlineStr">
        <is>
          <t>Med-High</t>
        </is>
      </c>
    </row>
    <row r="12">
      <c r="A12" s="13" t="n">
        <v>8</v>
      </c>
      <c r="B12" s="13" t="inlineStr">
        <is>
          <t>4.4</t>
        </is>
      </c>
      <c r="C12" s="14" t="inlineStr">
        <is>
          <t>ESP upsize where pump at max frequency</t>
        </is>
      </c>
      <c r="D12" s="14" t="inlineStr">
        <is>
          <t>Completion</t>
        </is>
      </c>
      <c r="E12" s="15" t="n">
        <v>800</v>
      </c>
      <c r="F12" s="15" t="n">
        <v>800</v>
      </c>
      <c r="G12" s="15" t="n">
        <v>2800</v>
      </c>
      <c r="H12" s="15" t="n">
        <v>2800</v>
      </c>
      <c r="I12" s="14" t="inlineStr">
        <is>
          <t>Medium</t>
        </is>
      </c>
    </row>
    <row r="13">
      <c r="A13" s="16" t="n"/>
      <c r="B13" s="16" t="n"/>
      <c r="C13" s="16" t="inlineStr">
        <is>
          <t>TOTAL realistic envelope (with 25 % overlap deduction)</t>
        </is>
      </c>
      <c r="D13" s="16" t="n"/>
      <c r="E13" s="16">
        <f>ROUND(SUM(E5:E12)*0.75,0)</f>
        <v/>
      </c>
      <c r="F13" s="16">
        <f>ROUND(SUM(F5:F12)*0.75,0)</f>
        <v/>
      </c>
      <c r="G13" s="16">
        <f>ROUND(SUM(G5:G12)*0.75,0)</f>
        <v/>
      </c>
      <c r="H13" s="16">
        <f>ROUND(SUM(H5:H12)*0.75,0)</f>
        <v/>
      </c>
      <c r="I13" s="16" t="n"/>
    </row>
  </sheetData>
  <mergeCells count="1"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8" customWidth="1" min="4" max="4"/>
    <col width="14" customWidth="1" min="5" max="5"/>
  </cols>
  <sheetData>
    <row r="1" ht="26" customHeight="1">
      <c r="A1" s="1" t="inlineStr">
        <is>
          <t>Field-Level Baseline — Q2-2026 Allowable file</t>
        </is>
      </c>
    </row>
    <row r="3" ht="26" customHeight="1">
      <c r="A3" s="4" t="inlineStr">
        <is>
          <t>OIL PRODUCTION (BOPD)</t>
        </is>
      </c>
    </row>
    <row r="4">
      <c r="A4" s="9" t="inlineStr">
        <is>
          <t>Metric</t>
        </is>
      </c>
      <c r="B4" s="9" t="inlineStr">
        <is>
          <t>Active</t>
        </is>
      </c>
      <c r="C4" s="9" t="inlineStr">
        <is>
          <t>Including Inactive</t>
        </is>
      </c>
      <c r="D4" s="9" t="inlineStr">
        <is>
          <t>Comment</t>
        </is>
      </c>
      <c r="E4" s="9" t="inlineStr"/>
    </row>
    <row r="5">
      <c r="A5" s="10" t="inlineStr">
        <is>
          <t>Allowable</t>
        </is>
      </c>
      <c r="B5" s="12" t="n">
        <v>76671</v>
      </c>
      <c r="C5" s="12" t="n">
        <v>80591</v>
      </c>
      <c r="D5" s="11" t="inlineStr">
        <is>
          <t>RM-approved cap</t>
        </is>
      </c>
    </row>
    <row r="6">
      <c r="A6" s="13" t="inlineStr">
        <is>
          <t>Technical Rate (TR)</t>
        </is>
      </c>
      <c r="B6" s="15" t="n">
        <v>79983</v>
      </c>
      <c r="C6" s="15" t="n">
        <v>79983</v>
      </c>
      <c r="D6" s="14" t="inlineStr">
        <is>
          <t>Engineering deliverability</t>
        </is>
      </c>
    </row>
    <row r="7">
      <c r="A7" s="10" t="inlineStr">
        <is>
          <t>FAR (actual)</t>
        </is>
      </c>
      <c r="B7" s="12" t="n">
        <v>75733</v>
      </c>
      <c r="C7" s="17" t="n"/>
      <c r="D7" s="11" t="inlineStr">
        <is>
          <t>Field actual rate Q1-2026</t>
        </is>
      </c>
    </row>
    <row r="8">
      <c r="A8" s="13" t="inlineStr">
        <is>
          <t>Gap vs TR</t>
        </is>
      </c>
      <c r="B8" s="15" t="n">
        <v>4250</v>
      </c>
      <c r="C8" s="18" t="n"/>
      <c r="D8" s="14" t="inlineStr">
        <is>
          <t>Under-delivery 5.6 %</t>
        </is>
      </c>
    </row>
    <row r="9">
      <c r="A9" s="10" t="inlineStr">
        <is>
          <t>Deliverability ceiling</t>
        </is>
      </c>
      <c r="B9" s="17" t="n"/>
      <c r="C9" s="12" t="n">
        <v>102752</v>
      </c>
      <c r="D9" s="11" t="inlineStr">
        <is>
          <t>Sum of estimated max for all R1+R2 strings</t>
        </is>
      </c>
    </row>
    <row r="10">
      <c r="A10" s="13" t="inlineStr">
        <is>
          <t>Inactive strings (booked)</t>
        </is>
      </c>
      <c r="B10" s="15" t="n">
        <v>3920</v>
      </c>
      <c r="C10" s="18" t="n"/>
      <c r="D10" s="14" t="inlineStr">
        <is>
          <t>14 strings — gain via Obj 1.1B/§4.8</t>
        </is>
      </c>
    </row>
    <row r="13" ht="26" customHeight="1">
      <c r="A13" s="4" t="inlineStr">
        <is>
          <t>WATER INJECTION (bwpd)</t>
        </is>
      </c>
    </row>
    <row r="14">
      <c r="A14" s="9" t="inlineStr">
        <is>
          <t>Scenario</t>
        </is>
      </c>
      <c r="B14" s="9" t="inlineStr">
        <is>
          <t>Cluster #1</t>
        </is>
      </c>
      <c r="C14" s="9" t="inlineStr">
        <is>
          <t>Cluster #2</t>
        </is>
      </c>
      <c r="D14" s="9" t="inlineStr">
        <is>
          <t>Total target</t>
        </is>
      </c>
      <c r="E14" s="9" t="inlineStr">
        <is>
          <t>Actual</t>
        </is>
      </c>
    </row>
    <row r="15">
      <c r="A15" s="10" t="inlineStr">
        <is>
          <t>With SY-175 + SY-180 commissioned</t>
        </is>
      </c>
      <c r="B15" s="12" t="n">
        <v>26000</v>
      </c>
      <c r="C15" s="12" t="n">
        <v>24600</v>
      </c>
      <c r="D15" s="12" t="n">
        <v>50600</v>
      </c>
      <c r="E15" s="12" t="n"/>
    </row>
    <row r="16">
      <c r="A16" s="13" t="inlineStr">
        <is>
          <t>Without SY-175/180 (current)</t>
        </is>
      </c>
      <c r="B16" s="15" t="n">
        <v>26000</v>
      </c>
      <c r="C16" s="15" t="n">
        <v>19000</v>
      </c>
      <c r="D16" s="15" t="n">
        <v>45000</v>
      </c>
      <c r="E16" s="15" t="n">
        <v>53000</v>
      </c>
    </row>
    <row r="17">
      <c r="A17" s="10" t="inlineStr">
        <is>
          <t>Technical rate</t>
        </is>
      </c>
      <c r="B17" s="12" t="n">
        <v>42200</v>
      </c>
      <c r="C17" s="12" t="n">
        <v>28800</v>
      </c>
      <c r="D17" s="12" t="n">
        <v>71000</v>
      </c>
      <c r="E17" s="12" t="n"/>
    </row>
    <row r="18">
      <c r="A18" s="13" t="inlineStr">
        <is>
          <t>Cluster physical capacity (hard cap)</t>
        </is>
      </c>
      <c r="B18" s="15" t="n">
        <v>26000</v>
      </c>
      <c r="C18" s="15" t="n">
        <v>25000</v>
      </c>
      <c r="D18" s="15" t="inlineStr">
        <is>
          <t>—</t>
        </is>
      </c>
      <c r="E18" s="15" t="inlineStr">
        <is>
          <t>—</t>
        </is>
      </c>
    </row>
  </sheetData>
  <mergeCells count="2">
    <mergeCell ref="A13:E13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BOPD</t>
        </is>
      </c>
      <c r="D1" t="inlineStr">
        <is>
          <t>Category</t>
        </is>
      </c>
      <c r="E1" t="inlineStr">
        <is>
          <t>BOPD lost</t>
        </is>
      </c>
      <c r="G1" t="inlineStr">
        <is>
          <t>Opportunity</t>
        </is>
      </c>
      <c r="H1" t="inlineStr">
        <is>
          <t>Low</t>
        </is>
      </c>
      <c r="I1" t="inlineStr">
        <is>
          <t>Range</t>
        </is>
      </c>
    </row>
    <row r="2">
      <c r="A2" t="inlineStr">
        <is>
          <t>Actual</t>
        </is>
      </c>
      <c r="B2" t="n">
        <v>75733</v>
      </c>
      <c r="D2" t="inlineStr">
        <is>
          <t>S1 — Low PIP / low intake — stim ca</t>
        </is>
      </c>
      <c r="E2" t="n">
        <v>12000</v>
      </c>
      <c r="G2" t="inlineStr">
        <is>
          <t>4.5 WI capacity uplift (SY-175 + SY-180</t>
        </is>
      </c>
      <c r="H2" t="n">
        <v>2500</v>
      </c>
      <c r="I2" t="n">
        <v>1500</v>
      </c>
    </row>
    <row r="3">
      <c r="A3" t="inlineStr">
        <is>
          <t>Allowable</t>
        </is>
      </c>
      <c r="B3" t="n">
        <v>76671</v>
      </c>
      <c r="D3" t="inlineStr">
        <is>
          <t xml:space="preserve">S2 — High watercut (&gt;60 %) — water </t>
        </is>
      </c>
      <c r="E3" t="n">
        <v>7000</v>
      </c>
      <c r="G3" t="inlineStr">
        <is>
          <t>4.7 Surface back-pressure optimization</t>
        </is>
      </c>
      <c r="H3" t="n">
        <v>1500</v>
      </c>
      <c r="I3" t="n">
        <v>1000</v>
      </c>
    </row>
    <row r="4">
      <c r="A4" t="inlineStr">
        <is>
          <t>TR</t>
        </is>
      </c>
      <c r="B4" t="n">
        <v>79983</v>
      </c>
      <c r="D4" t="inlineStr">
        <is>
          <t>S3 — Low BHFP — close to Pb violati</t>
        </is>
      </c>
      <c r="E4" t="n">
        <v>1800</v>
      </c>
      <c r="G4" t="inlineStr">
        <is>
          <t>4.6 Produced-water redistribution + R1↔</t>
        </is>
      </c>
      <c r="H4" t="n">
        <v>2000</v>
      </c>
      <c r="I4" t="n">
        <v>400</v>
      </c>
    </row>
    <row r="5">
      <c r="A5" t="inlineStr">
        <is>
          <t>Allow w/ inactive</t>
        </is>
      </c>
      <c r="B5" t="n">
        <v>80591</v>
      </c>
      <c r="D5" t="inlineStr">
        <is>
          <t>S4 — Inactive strings — workover ba</t>
        </is>
      </c>
      <c r="E5" t="n">
        <v>3920</v>
      </c>
      <c r="G5" t="inlineStr">
        <is>
          <t>4.1 Stimulation roll-out beyond Obj 1.1</t>
        </is>
      </c>
      <c r="H5" t="n">
        <v>2500</v>
      </c>
      <c r="I5" t="n">
        <v>0</v>
      </c>
    </row>
    <row r="6">
      <c r="A6" t="inlineStr">
        <is>
          <t>Deliverability ceiling</t>
        </is>
      </c>
      <c r="B6" t="n">
        <v>102752</v>
      </c>
      <c r="D6" t="inlineStr">
        <is>
          <t>S5 — Reservoir pressure depletion</t>
        </is>
      </c>
      <c r="E6" t="n">
        <v>5000</v>
      </c>
      <c r="G6" t="inlineStr">
        <is>
          <t>4.3 VSD / PWS retrofit campaign</t>
        </is>
      </c>
      <c r="H6" t="n">
        <v>1600</v>
      </c>
      <c r="I6" t="n">
        <v>0</v>
      </c>
    </row>
    <row r="7">
      <c r="D7" t="inlineStr">
        <is>
          <t>C1 — Low DP across choke — VSD requ</t>
        </is>
      </c>
      <c r="E7" t="n">
        <v>6500</v>
      </c>
      <c r="G7" t="inlineStr">
        <is>
          <t>4.4 ESP upsize where pump at max freque</t>
        </is>
      </c>
      <c r="H7" t="n">
        <v>800</v>
      </c>
      <c r="I7" t="n">
        <v>0</v>
      </c>
    </row>
    <row r="8">
      <c r="D8" t="inlineStr">
        <is>
          <t>C2 — ESP at max frequency</t>
        </is>
      </c>
      <c r="E8" t="n">
        <v>3500</v>
      </c>
      <c r="G8" t="inlineStr">
        <is>
          <t>4.2 BHFP rate-cap relaxation via skin r</t>
        </is>
      </c>
      <c r="H8" t="n">
        <v>900</v>
      </c>
      <c r="I8" t="n">
        <v>0</v>
      </c>
    </row>
    <row r="9">
      <c r="G9" t="inlineStr">
        <is>
          <t>4.8 Inactive-string reactivation accele</t>
        </is>
      </c>
      <c r="H9" t="n">
        <v>1000</v>
      </c>
      <c r="I9" t="n">
        <v>0</v>
      </c>
    </row>
    <row r="200">
      <c r="A200" t="inlineStr">
        <is>
          <t>Scenario</t>
        </is>
      </c>
      <c r="B200" t="inlineStr">
        <is>
          <t>BOPD</t>
        </is>
      </c>
    </row>
    <row r="201">
      <c r="A201" t="inlineStr">
        <is>
          <t>2026 low</t>
        </is>
      </c>
      <c r="B201" t="n">
        <v>2500</v>
      </c>
    </row>
    <row r="202">
      <c r="A202" t="inlineStr">
        <is>
          <t>2026 high</t>
        </is>
      </c>
      <c r="B202" t="n">
        <v>4000</v>
      </c>
    </row>
    <row r="203">
      <c r="A203" t="inlineStr">
        <is>
          <t>Full low</t>
        </is>
      </c>
      <c r="B203" t="n">
        <v>4000</v>
      </c>
    </row>
    <row r="204">
      <c r="A204" t="inlineStr">
        <is>
          <t>Full high</t>
        </is>
      </c>
      <c r="B204" t="n">
        <v>5500</v>
      </c>
    </row>
    <row r="205">
      <c r="A205" t="inlineStr">
        <is>
          <t>Scenario</t>
        </is>
      </c>
      <c r="B205" t="inlineStr">
        <is>
          <t>BOPD</t>
        </is>
      </c>
    </row>
    <row r="206">
      <c r="A206" t="inlineStr">
        <is>
          <t>2026 low</t>
        </is>
      </c>
      <c r="B206" t="n">
        <v>1500</v>
      </c>
    </row>
    <row r="207">
      <c r="A207" t="inlineStr">
        <is>
          <t>2026 high</t>
        </is>
      </c>
      <c r="B207" t="n">
        <v>2500</v>
      </c>
    </row>
    <row r="208">
      <c r="A208" t="inlineStr">
        <is>
          <t>Full low</t>
        </is>
      </c>
      <c r="B208" t="n">
        <v>2300</v>
      </c>
    </row>
    <row r="209">
      <c r="A209" t="inlineStr">
        <is>
          <t>Full high</t>
        </is>
      </c>
      <c r="B209" t="n">
        <v>3300</v>
      </c>
    </row>
    <row r="210">
      <c r="A210" t="inlineStr">
        <is>
          <t>Scenario</t>
        </is>
      </c>
      <c r="B210" t="inlineStr">
        <is>
          <t>BOPD</t>
        </is>
      </c>
    </row>
    <row r="211">
      <c r="A211" t="inlineStr">
        <is>
          <t>2026 low</t>
        </is>
      </c>
      <c r="B211" t="n">
        <v>2000</v>
      </c>
    </row>
    <row r="212">
      <c r="A212" t="inlineStr">
        <is>
          <t>2026 high</t>
        </is>
      </c>
      <c r="B212" t="n">
        <v>2400</v>
      </c>
    </row>
    <row r="213">
      <c r="A213" t="inlineStr">
        <is>
          <t>Full low</t>
        </is>
      </c>
      <c r="B213" t="n">
        <v>2400</v>
      </c>
    </row>
    <row r="214">
      <c r="A214" t="inlineStr">
        <is>
          <t>Full high</t>
        </is>
      </c>
      <c r="B214" t="n">
        <v>3200</v>
      </c>
    </row>
    <row r="215">
      <c r="A215" t="inlineStr">
        <is>
          <t>Scenario</t>
        </is>
      </c>
      <c r="B215" t="inlineStr">
        <is>
          <t>BOPD</t>
        </is>
      </c>
    </row>
    <row r="216">
      <c r="A216" t="inlineStr">
        <is>
          <t>2026 low</t>
        </is>
      </c>
      <c r="B216" t="n">
        <v>2500</v>
      </c>
    </row>
    <row r="217">
      <c r="A217" t="inlineStr">
        <is>
          <t>2026 high</t>
        </is>
      </c>
      <c r="B217" t="n">
        <v>2500</v>
      </c>
    </row>
    <row r="218">
      <c r="A218" t="inlineStr">
        <is>
          <t>Full low</t>
        </is>
      </c>
      <c r="B218" t="n">
        <v>5000</v>
      </c>
    </row>
    <row r="219">
      <c r="A219" t="inlineStr">
        <is>
          <t>Full high</t>
        </is>
      </c>
      <c r="B219" t="n">
        <v>6000</v>
      </c>
    </row>
    <row r="220">
      <c r="A220" t="inlineStr">
        <is>
          <t>Scenario</t>
        </is>
      </c>
      <c r="B220" t="inlineStr">
        <is>
          <t>BOPD</t>
        </is>
      </c>
    </row>
    <row r="221">
      <c r="A221" t="inlineStr">
        <is>
          <t>2026 low</t>
        </is>
      </c>
      <c r="B221" t="n">
        <v>1600</v>
      </c>
    </row>
    <row r="222">
      <c r="A222" t="inlineStr">
        <is>
          <t>2026 high</t>
        </is>
      </c>
      <c r="B222" t="n">
        <v>1600</v>
      </c>
    </row>
    <row r="223">
      <c r="A223" t="inlineStr">
        <is>
          <t>Full low</t>
        </is>
      </c>
      <c r="B223" t="n">
        <v>3300</v>
      </c>
    </row>
    <row r="224">
      <c r="A224" t="inlineStr">
        <is>
          <t>Full high</t>
        </is>
      </c>
      <c r="B224" t="n">
        <v>5500</v>
      </c>
    </row>
    <row r="225">
      <c r="A225" t="inlineStr">
        <is>
          <t>Scenario</t>
        </is>
      </c>
      <c r="B225" t="inlineStr">
        <is>
          <t>BOPD</t>
        </is>
      </c>
    </row>
    <row r="226">
      <c r="A226" t="inlineStr">
        <is>
          <t>2026 low</t>
        </is>
      </c>
      <c r="B226" t="n">
        <v>800</v>
      </c>
    </row>
    <row r="227">
      <c r="A227" t="inlineStr">
        <is>
          <t>2026 high</t>
        </is>
      </c>
      <c r="B227" t="n">
        <v>800</v>
      </c>
    </row>
    <row r="228">
      <c r="A228" t="inlineStr">
        <is>
          <t>Full low</t>
        </is>
      </c>
      <c r="B228" t="n">
        <v>2800</v>
      </c>
    </row>
    <row r="229">
      <c r="A229" t="inlineStr">
        <is>
          <t>Full high</t>
        </is>
      </c>
      <c r="B229" t="n">
        <v>2800</v>
      </c>
    </row>
    <row r="230">
      <c r="A230" t="inlineStr">
        <is>
          <t>Scenario</t>
        </is>
      </c>
      <c r="B230" t="inlineStr">
        <is>
          <t>BOPD</t>
        </is>
      </c>
    </row>
    <row r="231">
      <c r="A231" t="inlineStr">
        <is>
          <t>2026 low</t>
        </is>
      </c>
      <c r="B231" t="n">
        <v>900</v>
      </c>
    </row>
    <row r="232">
      <c r="A232" t="inlineStr">
        <is>
          <t>2026 high</t>
        </is>
      </c>
      <c r="B232" t="n">
        <v>900</v>
      </c>
    </row>
    <row r="233">
      <c r="A233" t="inlineStr">
        <is>
          <t>Full low</t>
        </is>
      </c>
      <c r="B233" t="n">
        <v>1800</v>
      </c>
    </row>
    <row r="234">
      <c r="A234" t="inlineStr">
        <is>
          <t>Full high</t>
        </is>
      </c>
      <c r="B234" t="n">
        <v>1800</v>
      </c>
    </row>
    <row r="235">
      <c r="A235" t="inlineStr">
        <is>
          <t>Scenario</t>
        </is>
      </c>
      <c r="B235" t="inlineStr">
        <is>
          <t>BOPD</t>
        </is>
      </c>
    </row>
    <row r="236">
      <c r="A236" t="inlineStr">
        <is>
          <t>2026 low</t>
        </is>
      </c>
      <c r="B236" t="n">
        <v>1000</v>
      </c>
    </row>
    <row r="237">
      <c r="A237" t="inlineStr">
        <is>
          <t>2026 high</t>
        </is>
      </c>
      <c r="B237" t="n">
        <v>1000</v>
      </c>
    </row>
    <row r="238">
      <c r="A238" t="inlineStr">
        <is>
          <t>Full low</t>
        </is>
      </c>
      <c r="B238" t="n">
        <v>3920</v>
      </c>
    </row>
    <row r="239">
      <c r="A239" t="inlineStr">
        <is>
          <t>Full high</t>
        </is>
      </c>
      <c r="B239" t="n">
        <v>3920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12" customWidth="1" min="4" max="4"/>
    <col width="16" customWidth="1" min="5" max="5"/>
    <col width="22" customWidth="1" min="6" max="6"/>
    <col width="18" customWidth="1" min="7" max="7"/>
  </cols>
  <sheetData>
    <row r="1" ht="26" customHeight="1">
      <c r="A1" s="1" t="inlineStr">
        <is>
          <t>Bottleneck Categories — 9 root causes from RM comments</t>
        </is>
      </c>
    </row>
    <row r="3" ht="26" customHeight="1">
      <c r="A3" s="4" t="inlineStr">
        <is>
          <t>ROOT-CAUSE CLASSIFICATION</t>
        </is>
      </c>
    </row>
    <row r="4">
      <c r="A4" s="9" t="inlineStr">
        <is>
          <t>ID</t>
        </is>
      </c>
      <c r="B4" s="9" t="inlineStr">
        <is>
          <t>Category</t>
        </is>
      </c>
      <c r="C4" s="9" t="inlineStr">
        <is>
          <t>Indicator phrases</t>
        </is>
      </c>
      <c r="D4" s="9" t="inlineStr">
        <is>
          <t>Wells affected</t>
        </is>
      </c>
      <c r="E4" s="9" t="inlineStr">
        <is>
          <t>BOPD lost vs cap</t>
        </is>
      </c>
      <c r="F4" s="9" t="inlineStr">
        <is>
          <t>Linked opportunity</t>
        </is>
      </c>
      <c r="G4" s="9" t="inlineStr">
        <is>
          <t>Type</t>
        </is>
      </c>
    </row>
    <row r="5">
      <c r="A5" s="19" t="inlineStr">
        <is>
          <t>S1</t>
        </is>
      </c>
      <c r="B5" s="20" t="inlineStr">
        <is>
          <t>Low PIP / low intake — stim candidates</t>
        </is>
      </c>
      <c r="C5" s="20" t="inlineStr">
        <is>
          <t>"Low intake", "Low PIP", "stim required"</t>
        </is>
      </c>
      <c r="D5" s="12" t="n">
        <v>32</v>
      </c>
      <c r="E5" s="12" t="n">
        <v>12000</v>
      </c>
      <c r="F5" s="20" t="inlineStr">
        <is>
          <t>§4.1</t>
        </is>
      </c>
      <c r="G5" s="21" t="inlineStr">
        <is>
          <t>Subsurface</t>
        </is>
      </c>
    </row>
    <row r="6">
      <c r="A6" s="22" t="inlineStr">
        <is>
          <t>S2</t>
        </is>
      </c>
      <c r="B6" s="23" t="inlineStr">
        <is>
          <t>High watercut (&gt;60 %) — water management</t>
        </is>
      </c>
      <c r="C6" s="23" t="inlineStr">
        <is>
          <t>"High water cut", "wc increase", WC&gt;60 %</t>
        </is>
      </c>
      <c r="D6" s="15" t="n">
        <v>38</v>
      </c>
      <c r="E6" s="15" t="n">
        <v>7000</v>
      </c>
      <c r="F6" s="23" t="inlineStr">
        <is>
          <t>§4.6 + Obj 1.2A</t>
        </is>
      </c>
      <c r="G6" s="24" t="inlineStr">
        <is>
          <t>Subsurface</t>
        </is>
      </c>
    </row>
    <row r="7">
      <c r="A7" s="19" t="inlineStr">
        <is>
          <t>S3</t>
        </is>
      </c>
      <c r="B7" s="20" t="inlineStr">
        <is>
          <t>Low BHFP — close to Pb violation</t>
        </is>
      </c>
      <c r="C7" s="20" t="inlineStr">
        <is>
          <t>"Limit production to get pwf above Pb", BHFP&lt;500 psi</t>
        </is>
      </c>
      <c r="D7" s="12" t="n">
        <v>12</v>
      </c>
      <c r="E7" s="12" t="n">
        <v>1800</v>
      </c>
      <c r="F7" s="20" t="inlineStr">
        <is>
          <t>§4.2</t>
        </is>
      </c>
      <c r="G7" s="21" t="inlineStr">
        <is>
          <t>Subsurface</t>
        </is>
      </c>
    </row>
    <row r="8">
      <c r="A8" s="22" t="inlineStr">
        <is>
          <t>S4</t>
        </is>
      </c>
      <c r="B8" s="23" t="inlineStr">
        <is>
          <t>Inactive strings — workover backlog</t>
        </is>
      </c>
      <c r="C8" s="23" t="inlineStr">
        <is>
          <t>Inactive Y / Disconnected</t>
        </is>
      </c>
      <c r="D8" s="15" t="n">
        <v>14</v>
      </c>
      <c r="E8" s="15" t="n">
        <v>3920</v>
      </c>
      <c r="F8" s="23" t="inlineStr">
        <is>
          <t>§4.8 + Obj 1.1B</t>
        </is>
      </c>
      <c r="G8" s="24" t="inlineStr">
        <is>
          <t>Subsurface</t>
        </is>
      </c>
    </row>
    <row r="9">
      <c r="A9" s="19" t="inlineStr">
        <is>
          <t>S5</t>
        </is>
      </c>
      <c r="B9" s="20" t="inlineStr">
        <is>
          <t>Reservoir pressure depletion</t>
        </is>
      </c>
      <c r="C9" s="20" t="inlineStr">
        <is>
          <t>Pres declining; SY-024: "improve sector VRR"</t>
        </is>
      </c>
      <c r="D9" s="12" t="n">
        <v>8</v>
      </c>
      <c r="E9" s="12" t="n">
        <v>5000</v>
      </c>
      <c r="F9" s="20" t="inlineStr">
        <is>
          <t>§4.5</t>
        </is>
      </c>
      <c r="G9" s="21" t="inlineStr">
        <is>
          <t>Subsurface</t>
        </is>
      </c>
    </row>
    <row r="10">
      <c r="A10" s="22" t="inlineStr">
        <is>
          <t>C1</t>
        </is>
      </c>
      <c r="B10" s="23" t="inlineStr">
        <is>
          <t>Low DP across choke — VSD required</t>
        </is>
      </c>
      <c r="C10" s="23" t="inlineStr">
        <is>
          <t>"Low DP across choke", "VSD required", choke fully open</t>
        </is>
      </c>
      <c r="D10" s="15" t="n">
        <v>22</v>
      </c>
      <c r="E10" s="15" t="n">
        <v>6500</v>
      </c>
      <c r="F10" s="23" t="inlineStr">
        <is>
          <t>§4.3</t>
        </is>
      </c>
      <c r="G10" s="25" t="inlineStr">
        <is>
          <t>Surface/Completion</t>
        </is>
      </c>
    </row>
    <row r="11">
      <c r="A11" s="19" t="inlineStr">
        <is>
          <t>C2</t>
        </is>
      </c>
      <c r="B11" s="20" t="inlineStr">
        <is>
          <t>ESP at max frequency</t>
        </is>
      </c>
      <c r="C11" s="20" t="inlineStr">
        <is>
          <t>"ESP running at max frequency", "freq 60 Hz"</t>
        </is>
      </c>
      <c r="D11" s="12" t="n">
        <v>14</v>
      </c>
      <c r="E11" s="12" t="n">
        <v>3500</v>
      </c>
      <c r="F11" s="20" t="inlineStr">
        <is>
          <t>§4.4</t>
        </is>
      </c>
      <c r="G11" s="26" t="inlineStr">
        <is>
          <t>Completion</t>
        </is>
      </c>
    </row>
    <row r="12">
      <c r="A12" s="22" t="inlineStr">
        <is>
          <t>C3</t>
        </is>
      </c>
      <c r="B12" s="23" t="inlineStr">
        <is>
          <t>High back-pressure on flowline / station</t>
        </is>
      </c>
      <c r="C12" s="23" t="inlineStr">
        <is>
          <t>Wells with WHFT high &amp; low Qo at full choke</t>
        </is>
      </c>
      <c r="D12" s="15" t="inlineStr">
        <is>
          <t>TBD</t>
        </is>
      </c>
      <c r="E12" s="15" t="inlineStr">
        <is>
          <t>TBD</t>
        </is>
      </c>
      <c r="F12" s="23" t="inlineStr">
        <is>
          <t>§4.7</t>
        </is>
      </c>
      <c r="G12" s="25" t="inlineStr">
        <is>
          <t>Surface</t>
        </is>
      </c>
    </row>
    <row r="13">
      <c r="A13" s="19" t="inlineStr">
        <is>
          <t>W1</t>
        </is>
      </c>
      <c r="B13" s="20" t="inlineStr">
        <is>
          <t>Cluster capacity ceiling 26 Mbwpd</t>
        </is>
      </c>
      <c r="C13" s="20" t="inlineStr">
        <is>
          <t>"respecting max cluster capacity (25/26 Mbwpd each)"</t>
        </is>
      </c>
      <c r="D13" s="12" t="inlineStr">
        <is>
          <t>TBD</t>
        </is>
      </c>
      <c r="E13" s="12" t="inlineStr">
        <is>
          <t>TBD</t>
        </is>
      </c>
      <c r="F13" s="20" t="inlineStr">
        <is>
          <t>§4.5 Phase 2</t>
        </is>
      </c>
      <c r="G13" s="27" t="inlineStr">
        <is>
          <t>Water Injection</t>
        </is>
      </c>
    </row>
    <row r="14">
      <c r="A14" s="22" t="inlineStr">
        <is>
          <t>W2</t>
        </is>
      </c>
      <c r="B14" s="23" t="inlineStr">
        <is>
          <t>WI well integrity (SY-175, SY-180)</t>
        </is>
      </c>
      <c r="C14" s="23" t="inlineStr">
        <is>
          <t>"WO for integrity &amp; accessibility correction"</t>
        </is>
      </c>
      <c r="D14" s="15" t="n">
        <v>2</v>
      </c>
      <c r="E14" s="15" t="inlineStr">
        <is>
          <t>TBD</t>
        </is>
      </c>
      <c r="F14" s="23" t="inlineStr">
        <is>
          <t>§4.5 Phase 1</t>
        </is>
      </c>
      <c r="G14" s="28" t="inlineStr">
        <is>
          <t>Water Injection</t>
        </is>
      </c>
    </row>
    <row r="15">
      <c r="A15" s="19" t="inlineStr">
        <is>
          <t>W3</t>
        </is>
      </c>
      <c r="B15" s="20" t="inlineStr">
        <is>
          <t>R1↔R2 inter-reservoir water loss</t>
        </is>
      </c>
      <c r="C15" s="20" t="inlineStr">
        <is>
          <t>"Water loss to R2 likely occurring"</t>
        </is>
      </c>
      <c r="D15" s="12" t="n">
        <v>2</v>
      </c>
      <c r="E15" s="12" t="inlineStr">
        <is>
          <t>TBD</t>
        </is>
      </c>
      <c r="F15" s="20" t="inlineStr">
        <is>
          <t>§4.6 (a)</t>
        </is>
      </c>
      <c r="G15" s="27" t="inlineStr">
        <is>
          <t>Water Injection</t>
        </is>
      </c>
    </row>
    <row r="16">
      <c r="A16" s="22" t="inlineStr">
        <is>
          <t>W4</t>
        </is>
      </c>
      <c r="B16" s="23" t="inlineStr">
        <is>
          <t>High-WC producers loading PW system</t>
        </is>
      </c>
      <c r="C16" s="23" t="inlineStr">
        <is>
          <t>"propose to reduce it to improve sector VRR"</t>
        </is>
      </c>
      <c r="D16" s="15" t="n">
        <v>12</v>
      </c>
      <c r="E16" s="15" t="inlineStr">
        <is>
          <t>TBD</t>
        </is>
      </c>
      <c r="F16" s="23" t="inlineStr">
        <is>
          <t>§4.6 (c)</t>
        </is>
      </c>
      <c r="G16" s="28" t="inlineStr">
        <is>
          <t>Water Injection</t>
        </is>
      </c>
    </row>
  </sheetData>
  <mergeCells count="1">
    <mergeCell ref="A3:G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4" customWidth="1" min="10" max="10"/>
    <col width="14" customWidth="1" min="11" max="11"/>
  </cols>
  <sheetData>
    <row r="1" ht="26" customHeight="1">
      <c r="A1" s="1" t="inlineStr">
        <is>
          <t>All 8 De-Bottlenecking Opportunities — side by side</t>
        </is>
      </c>
    </row>
    <row r="3" ht="26" customHeight="1">
      <c r="A3" s="4" t="inlineStr">
        <is>
          <t>OPPORTUNITY COMPARISON</t>
        </is>
      </c>
    </row>
    <row r="4">
      <c r="A4" s="9" t="inlineStr">
        <is>
          <t>ID</t>
        </is>
      </c>
      <c r="B4" s="9" t="inlineStr">
        <is>
          <t>Title</t>
        </is>
      </c>
      <c r="C4" s="9" t="inlineStr">
        <is>
          <t>Category</t>
        </is>
      </c>
      <c r="D4" s="9" t="inlineStr">
        <is>
          <t>2026 low</t>
        </is>
      </c>
      <c r="E4" s="9" t="inlineStr">
        <is>
          <t>2026 high</t>
        </is>
      </c>
      <c r="F4" s="9" t="inlineStr">
        <is>
          <t>2026 mid</t>
        </is>
      </c>
      <c r="G4" s="9" t="inlineStr">
        <is>
          <t>Full low</t>
        </is>
      </c>
      <c r="H4" s="9" t="inlineStr">
        <is>
          <t>Full high</t>
        </is>
      </c>
      <c r="I4" s="9" t="inlineStr">
        <is>
          <t>Conf.</t>
        </is>
      </c>
      <c r="J4" s="9" t="inlineStr">
        <is>
          <t>Capex low ($M)</t>
        </is>
      </c>
      <c r="K4" s="9" t="inlineStr">
        <is>
          <t>Capex high ($M)</t>
        </is>
      </c>
    </row>
    <row r="5">
      <c r="A5" s="10" t="inlineStr">
        <is>
          <t>4.5</t>
        </is>
      </c>
      <c r="B5" s="11" t="inlineStr">
        <is>
          <t>WI capacity uplift (SY-175 + SY-180 + cluster review)</t>
        </is>
      </c>
      <c r="C5" s="10" t="inlineStr">
        <is>
          <t>Subsurface / WI</t>
        </is>
      </c>
      <c r="D5" s="12" t="n">
        <v>2500</v>
      </c>
      <c r="E5" s="12" t="n">
        <v>4000</v>
      </c>
      <c r="F5" s="12" t="n">
        <v>3250</v>
      </c>
      <c r="G5" s="12" t="n">
        <v>4000</v>
      </c>
      <c r="H5" s="12" t="n">
        <v>5500</v>
      </c>
      <c r="I5" s="11" t="inlineStr">
        <is>
          <t>Med-High</t>
        </is>
      </c>
      <c r="J5" s="12" t="n">
        <v>2</v>
      </c>
      <c r="K5" s="12" t="n">
        <v>28</v>
      </c>
    </row>
    <row r="6">
      <c r="A6" s="13" t="inlineStr">
        <is>
          <t>4.7</t>
        </is>
      </c>
      <c r="B6" s="14" t="inlineStr">
        <is>
          <t>Surface back-pressure optimization</t>
        </is>
      </c>
      <c r="C6" s="13" t="inlineStr">
        <is>
          <t>Surface</t>
        </is>
      </c>
      <c r="D6" s="15" t="n">
        <v>1500</v>
      </c>
      <c r="E6" s="15" t="n">
        <v>2500</v>
      </c>
      <c r="F6" s="15" t="n">
        <v>2000</v>
      </c>
      <c r="G6" s="15" t="n">
        <v>2300</v>
      </c>
      <c r="H6" s="15" t="n">
        <v>3300</v>
      </c>
      <c r="I6" s="14" t="inlineStr">
        <is>
          <t>Medium</t>
        </is>
      </c>
      <c r="J6" s="15" t="n">
        <v>0.2</v>
      </c>
      <c r="K6" s="15" t="n">
        <v>8</v>
      </c>
    </row>
    <row r="7">
      <c r="A7" s="10" t="inlineStr">
        <is>
          <t>4.6</t>
        </is>
      </c>
      <c r="B7" s="11" t="inlineStr">
        <is>
          <t>Produced-water redistribution + R1↔R2 rebalancing</t>
        </is>
      </c>
      <c r="C7" s="10" t="inlineStr">
        <is>
          <t>Subsurface / WI</t>
        </is>
      </c>
      <c r="D7" s="12" t="n">
        <v>2000</v>
      </c>
      <c r="E7" s="12" t="n">
        <v>2400</v>
      </c>
      <c r="F7" s="12" t="n">
        <v>2200</v>
      </c>
      <c r="G7" s="12" t="n">
        <v>2400</v>
      </c>
      <c r="H7" s="12" t="n">
        <v>3200</v>
      </c>
      <c r="I7" s="11" t="inlineStr">
        <is>
          <t>Medium</t>
        </is>
      </c>
      <c r="J7" s="12" t="n">
        <v>0.5</v>
      </c>
      <c r="K7" s="12" t="n">
        <v>1.5</v>
      </c>
    </row>
    <row r="8">
      <c r="A8" s="13" t="inlineStr">
        <is>
          <t>4.1</t>
        </is>
      </c>
      <c r="B8" s="14" t="inlineStr">
        <is>
          <t>Stimulation roll-out beyond Obj 1.1C</t>
        </is>
      </c>
      <c r="C8" s="13" t="inlineStr">
        <is>
          <t>Subsurface</t>
        </is>
      </c>
      <c r="D8" s="15" t="n">
        <v>2500</v>
      </c>
      <c r="E8" s="15" t="n">
        <v>2500</v>
      </c>
      <c r="F8" s="15" t="n">
        <v>2500</v>
      </c>
      <c r="G8" s="15" t="n">
        <v>5000</v>
      </c>
      <c r="H8" s="15" t="n">
        <v>6000</v>
      </c>
      <c r="I8" s="14" t="inlineStr">
        <is>
          <t>Medium</t>
        </is>
      </c>
      <c r="J8" s="15" t="n">
        <v>8</v>
      </c>
      <c r="K8" s="15" t="n">
        <v>12</v>
      </c>
    </row>
    <row r="9">
      <c r="A9" s="10" t="inlineStr">
        <is>
          <t>4.3</t>
        </is>
      </c>
      <c r="B9" s="11" t="inlineStr">
        <is>
          <t>VSD / PWS retrofit campaign</t>
        </is>
      </c>
      <c r="C9" s="10" t="inlineStr">
        <is>
          <t>Surface / Completion</t>
        </is>
      </c>
      <c r="D9" s="12" t="n">
        <v>1600</v>
      </c>
      <c r="E9" s="12" t="n">
        <v>1600</v>
      </c>
      <c r="F9" s="12" t="n">
        <v>1600</v>
      </c>
      <c r="G9" s="12" t="n">
        <v>3300</v>
      </c>
      <c r="H9" s="12" t="n">
        <v>5500</v>
      </c>
      <c r="I9" s="11" t="inlineStr">
        <is>
          <t>High</t>
        </is>
      </c>
      <c r="J9" s="12" t="n">
        <v>2.4</v>
      </c>
      <c r="K9" s="12" t="n">
        <v>4.8</v>
      </c>
    </row>
    <row r="10">
      <c r="A10" s="13" t="inlineStr">
        <is>
          <t>4.4</t>
        </is>
      </c>
      <c r="B10" s="14" t="inlineStr">
        <is>
          <t>ESP upsize where pump at max frequency</t>
        </is>
      </c>
      <c r="C10" s="13" t="inlineStr">
        <is>
          <t>Completion</t>
        </is>
      </c>
      <c r="D10" s="15" t="n">
        <v>800</v>
      </c>
      <c r="E10" s="15" t="n">
        <v>800</v>
      </c>
      <c r="F10" s="15" t="n">
        <v>800</v>
      </c>
      <c r="G10" s="15" t="n">
        <v>2800</v>
      </c>
      <c r="H10" s="15" t="n">
        <v>2800</v>
      </c>
      <c r="I10" s="14" t="inlineStr">
        <is>
          <t>Medium</t>
        </is>
      </c>
      <c r="J10" s="15" t="n">
        <v>2</v>
      </c>
      <c r="K10" s="15" t="n">
        <v>3.2</v>
      </c>
    </row>
    <row r="11">
      <c r="A11" s="10" t="inlineStr">
        <is>
          <t>4.2</t>
        </is>
      </c>
      <c r="B11" s="11" t="inlineStr">
        <is>
          <t>BHFP rate-cap relaxation via skin reduction / PVT relocalization</t>
        </is>
      </c>
      <c r="C11" s="10" t="inlineStr">
        <is>
          <t>Subsurface</t>
        </is>
      </c>
      <c r="D11" s="12" t="n">
        <v>900</v>
      </c>
      <c r="E11" s="12" t="n">
        <v>900</v>
      </c>
      <c r="F11" s="12" t="n">
        <v>900</v>
      </c>
      <c r="G11" s="12" t="n">
        <v>1800</v>
      </c>
      <c r="H11" s="12" t="n">
        <v>1800</v>
      </c>
      <c r="I11" s="11" t="inlineStr">
        <is>
          <t>Med-High</t>
        </is>
      </c>
      <c r="J11" s="12" t="n">
        <v>0.2</v>
      </c>
      <c r="K11" s="12" t="n">
        <v>0.5</v>
      </c>
    </row>
    <row r="12">
      <c r="A12" s="13" t="inlineStr">
        <is>
          <t>4.8</t>
        </is>
      </c>
      <c r="B12" s="14" t="inlineStr">
        <is>
          <t>Inactive-string reactivation acceleration</t>
        </is>
      </c>
      <c r="C12" s="13" t="inlineStr">
        <is>
          <t>Cross-cut Obj 1.1B</t>
        </is>
      </c>
      <c r="D12" s="15" t="n">
        <v>1000</v>
      </c>
      <c r="E12" s="15" t="n">
        <v>1000</v>
      </c>
      <c r="F12" s="15" t="n">
        <v>1000</v>
      </c>
      <c r="G12" s="15" t="n">
        <v>3920</v>
      </c>
      <c r="H12" s="15" t="n">
        <v>3920</v>
      </c>
      <c r="I12" s="14" t="inlineStr">
        <is>
          <t>High</t>
        </is>
      </c>
      <c r="J12" s="15" t="n">
        <v>0.5</v>
      </c>
      <c r="K12" s="15" t="n">
        <v>1</v>
      </c>
    </row>
  </sheetData>
  <mergeCells count="1">
    <mergeCell ref="A3:K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20" customWidth="1" min="4" max="4"/>
  </cols>
  <sheetData>
    <row r="1" ht="26" customHeight="1">
      <c r="A1" s="1" t="inlineStr">
        <is>
          <t>Production Gain Bridge — Current → 2026 Realistic Envelope</t>
        </is>
      </c>
    </row>
    <row r="3" ht="26" customHeight="1">
      <c r="A3" s="4" t="inlineStr">
        <is>
          <t>WATERFALL — STARTING POINT TO TARGET (BOPD)</t>
        </is>
      </c>
    </row>
    <row r="4">
      <c r="A4" s="9" t="inlineStr">
        <is>
          <t>Step</t>
        </is>
      </c>
      <c r="B4" s="9" t="inlineStr">
        <is>
          <t>Item</t>
        </is>
      </c>
      <c r="C4" s="9" t="inlineStr">
        <is>
          <t>Increment (BOPD)</t>
        </is>
      </c>
      <c r="D4" s="9" t="inlineStr">
        <is>
          <t>Cumulative (BOPD)</t>
        </is>
      </c>
    </row>
    <row r="5">
      <c r="A5" s="29" t="inlineStr">
        <is>
          <t>Start</t>
        </is>
      </c>
      <c r="B5" s="29" t="inlineStr">
        <is>
          <t>Current actual production</t>
        </is>
      </c>
      <c r="C5" s="30" t="n">
        <v>0</v>
      </c>
      <c r="D5" s="30" t="n">
        <v>75733</v>
      </c>
    </row>
    <row r="6">
      <c r="A6" s="13" t="inlineStr">
        <is>
          <t>Step</t>
        </is>
      </c>
      <c r="B6" s="14" t="inlineStr">
        <is>
          <t>§4.5 WI capacity uplift (SY-175 + SY-180 + cluster</t>
        </is>
      </c>
      <c r="C6" s="31" t="n">
        <v>2500</v>
      </c>
      <c r="D6" s="32" t="n">
        <v>78233</v>
      </c>
    </row>
    <row r="7">
      <c r="A7" s="10" t="inlineStr">
        <is>
          <t>Step</t>
        </is>
      </c>
      <c r="B7" s="11" t="inlineStr">
        <is>
          <t>§4.1 Stimulation roll-out beyond Obj 1.1 (×0.75 overlap)</t>
        </is>
      </c>
      <c r="C7" s="33" t="n">
        <v>1875</v>
      </c>
      <c r="D7" s="34" t="n">
        <v>80108</v>
      </c>
    </row>
    <row r="8">
      <c r="A8" s="13" t="inlineStr">
        <is>
          <t>Step</t>
        </is>
      </c>
      <c r="B8" s="14" t="inlineStr">
        <is>
          <t>§4.6 Produced-water redistribution + R1↔R2 rebalan</t>
        </is>
      </c>
      <c r="C8" s="31" t="n">
        <v>2000</v>
      </c>
      <c r="D8" s="32" t="n">
        <v>82108</v>
      </c>
    </row>
    <row r="9">
      <c r="A9" s="10" t="inlineStr">
        <is>
          <t>Step</t>
        </is>
      </c>
      <c r="B9" s="11" t="inlineStr">
        <is>
          <t>§4.7 Surface back-pressure optimization</t>
        </is>
      </c>
      <c r="C9" s="33" t="n">
        <v>1500</v>
      </c>
      <c r="D9" s="34" t="n">
        <v>83608</v>
      </c>
    </row>
    <row r="10">
      <c r="A10" s="13" t="inlineStr">
        <is>
          <t>Step</t>
        </is>
      </c>
      <c r="B10" s="14" t="inlineStr">
        <is>
          <t>§4.3 VSD / PWS retrofit campaign (×0.75 overlap)</t>
        </is>
      </c>
      <c r="C10" s="31" t="n">
        <v>1200</v>
      </c>
      <c r="D10" s="32" t="n">
        <v>84808</v>
      </c>
    </row>
    <row r="11">
      <c r="A11" s="10" t="inlineStr">
        <is>
          <t>Step</t>
        </is>
      </c>
      <c r="B11" s="11" t="inlineStr">
        <is>
          <t>§4.8 Inactive-string reactivation acceleration</t>
        </is>
      </c>
      <c r="C11" s="33" t="n">
        <v>1000</v>
      </c>
      <c r="D11" s="34" t="n">
        <v>85808</v>
      </c>
    </row>
    <row r="12">
      <c r="A12" s="13" t="inlineStr">
        <is>
          <t>Step</t>
        </is>
      </c>
      <c r="B12" s="14" t="inlineStr">
        <is>
          <t>§4.2 BHFP rate-cap relaxation via skin reduction /</t>
        </is>
      </c>
      <c r="C12" s="31" t="n">
        <v>900</v>
      </c>
      <c r="D12" s="32" t="n">
        <v>86708</v>
      </c>
    </row>
    <row r="13">
      <c r="A13" s="10" t="inlineStr">
        <is>
          <t>Step</t>
        </is>
      </c>
      <c r="B13" s="11" t="inlineStr">
        <is>
          <t>§4.4 ESP upsize where pump at max freque (×0.75 overlap)</t>
        </is>
      </c>
      <c r="C13" s="33" t="n">
        <v>600</v>
      </c>
      <c r="D13" s="34" t="n">
        <v>87308</v>
      </c>
    </row>
    <row r="14">
      <c r="A14" s="35" t="inlineStr">
        <is>
          <t>End</t>
        </is>
      </c>
      <c r="B14" s="35" t="inlineStr">
        <is>
          <t>2026 realistic envelope</t>
        </is>
      </c>
      <c r="C14" s="36" t="n">
        <v>0</v>
      </c>
      <c r="D14" s="36" t="n">
        <v>87308</v>
      </c>
    </row>
  </sheetData>
  <mergeCells count="1"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22" customWidth="1" min="4" max="4"/>
    <col width="16" customWidth="1" min="5" max="5"/>
    <col width="14" customWidth="1" min="6" max="6"/>
  </cols>
  <sheetData>
    <row r="1" ht="26" customHeight="1">
      <c r="A1" s="1" t="inlineStr">
        <is>
          <t>Capex vs Gain — Prioritization Matrix</t>
        </is>
      </c>
    </row>
    <row r="3" ht="26" customHeight="1">
      <c r="A3" s="4" t="inlineStr">
        <is>
          <t>BUBBLE DATA</t>
        </is>
      </c>
    </row>
    <row r="4">
      <c r="A4" s="9" t="inlineStr">
        <is>
          <t>ID</t>
        </is>
      </c>
      <c r="B4" s="9" t="inlineStr">
        <is>
          <t>Title</t>
        </is>
      </c>
      <c r="C4" s="9" t="inlineStr">
        <is>
          <t>Capex midpoint ($M)</t>
        </is>
      </c>
      <c r="D4" s="9" t="inlineStr">
        <is>
          <t>2026 gain midpoint (BOPD)</t>
        </is>
      </c>
      <c r="E4" s="9" t="inlineStr">
        <is>
          <t>$/BOPD ratio</t>
        </is>
      </c>
      <c r="F4" s="9" t="inlineStr">
        <is>
          <t>Confidence</t>
        </is>
      </c>
    </row>
    <row r="5">
      <c r="A5" s="10" t="inlineStr">
        <is>
          <t>4.5</t>
        </is>
      </c>
      <c r="B5" s="11" t="inlineStr">
        <is>
          <t>WI capacity uplift (SY-175 + SY-180 + cluster review)</t>
        </is>
      </c>
      <c r="C5" s="12" t="n">
        <v>15</v>
      </c>
      <c r="D5" s="12" t="n">
        <v>3250</v>
      </c>
      <c r="E5" s="12" t="n">
        <v>4615</v>
      </c>
      <c r="F5" s="11" t="inlineStr">
        <is>
          <t>Med-High</t>
        </is>
      </c>
    </row>
    <row r="6">
      <c r="A6" s="13" t="inlineStr">
        <is>
          <t>4.7</t>
        </is>
      </c>
      <c r="B6" s="14" t="inlineStr">
        <is>
          <t>Surface back-pressure optimization</t>
        </is>
      </c>
      <c r="C6" s="15" t="n">
        <v>4.1</v>
      </c>
      <c r="D6" s="15" t="n">
        <v>2000</v>
      </c>
      <c r="E6" s="15" t="n">
        <v>2050</v>
      </c>
      <c r="F6" s="14" t="inlineStr">
        <is>
          <t>Medium</t>
        </is>
      </c>
    </row>
    <row r="7">
      <c r="A7" s="10" t="inlineStr">
        <is>
          <t>4.6</t>
        </is>
      </c>
      <c r="B7" s="11" t="inlineStr">
        <is>
          <t>Produced-water redistribution + R1↔R2 rebalancing</t>
        </is>
      </c>
      <c r="C7" s="12" t="n">
        <v>1</v>
      </c>
      <c r="D7" s="12" t="n">
        <v>2200</v>
      </c>
      <c r="E7" s="12" t="n">
        <v>455</v>
      </c>
      <c r="F7" s="11" t="inlineStr">
        <is>
          <t>Medium</t>
        </is>
      </c>
    </row>
    <row r="8">
      <c r="A8" s="13" t="inlineStr">
        <is>
          <t>4.1</t>
        </is>
      </c>
      <c r="B8" s="14" t="inlineStr">
        <is>
          <t>Stimulation roll-out beyond Obj 1.1C</t>
        </is>
      </c>
      <c r="C8" s="15" t="n">
        <v>10</v>
      </c>
      <c r="D8" s="15" t="n">
        <v>2500</v>
      </c>
      <c r="E8" s="15" t="n">
        <v>4000</v>
      </c>
      <c r="F8" s="14" t="inlineStr">
        <is>
          <t>Medium</t>
        </is>
      </c>
    </row>
    <row r="9">
      <c r="A9" s="10" t="inlineStr">
        <is>
          <t>4.3</t>
        </is>
      </c>
      <c r="B9" s="11" t="inlineStr">
        <is>
          <t>VSD / PWS retrofit campaign</t>
        </is>
      </c>
      <c r="C9" s="12" t="n">
        <v>3.6</v>
      </c>
      <c r="D9" s="12" t="n">
        <v>1600</v>
      </c>
      <c r="E9" s="12" t="n">
        <v>2250</v>
      </c>
      <c r="F9" s="11" t="inlineStr">
        <is>
          <t>High</t>
        </is>
      </c>
    </row>
    <row r="10">
      <c r="A10" s="13" t="inlineStr">
        <is>
          <t>4.4</t>
        </is>
      </c>
      <c r="B10" s="14" t="inlineStr">
        <is>
          <t>ESP upsize where pump at max frequency</t>
        </is>
      </c>
      <c r="C10" s="15" t="n">
        <v>2.6</v>
      </c>
      <c r="D10" s="15" t="n">
        <v>800</v>
      </c>
      <c r="E10" s="15" t="n">
        <v>3250</v>
      </c>
      <c r="F10" s="14" t="inlineStr">
        <is>
          <t>Medium</t>
        </is>
      </c>
    </row>
    <row r="11">
      <c r="A11" s="10" t="inlineStr">
        <is>
          <t>4.2</t>
        </is>
      </c>
      <c r="B11" s="11" t="inlineStr">
        <is>
          <t>BHFP rate-cap relaxation via skin reduction / PVT relocalization</t>
        </is>
      </c>
      <c r="C11" s="12" t="n">
        <v>0.35</v>
      </c>
      <c r="D11" s="12" t="n">
        <v>900</v>
      </c>
      <c r="E11" s="12" t="n">
        <v>389</v>
      </c>
      <c r="F11" s="11" t="inlineStr">
        <is>
          <t>Med-High</t>
        </is>
      </c>
    </row>
    <row r="12">
      <c r="A12" s="13" t="inlineStr">
        <is>
          <t>4.8</t>
        </is>
      </c>
      <c r="B12" s="14" t="inlineStr">
        <is>
          <t>Inactive-string reactivation acceleration</t>
        </is>
      </c>
      <c r="C12" s="15" t="n">
        <v>0.75</v>
      </c>
      <c r="D12" s="15" t="n">
        <v>1000</v>
      </c>
      <c r="E12" s="15" t="n">
        <v>750</v>
      </c>
      <c r="F12" s="14" t="inlineStr">
        <is>
          <t>High</t>
        </is>
      </c>
    </row>
  </sheetData>
  <mergeCells count="1"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§4.5 — WI capacity uplift (SY-175 + SY-180 + cluster review)</t>
        </is>
      </c>
    </row>
    <row r="2">
      <c r="A2" s="2" t="inlineStr">
        <is>
          <t>Category: Subsurface / WI · Confidence: Med-High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2500</v>
      </c>
      <c r="C5" s="17" t="n"/>
      <c r="D5" s="17" t="n"/>
    </row>
    <row r="6">
      <c r="A6" s="10" t="inlineStr">
        <is>
          <t>2026 realistic gain — high (BOPD)</t>
        </is>
      </c>
      <c r="B6" s="11" t="n">
        <v>4000</v>
      </c>
      <c r="C6" s="17" t="n"/>
      <c r="D6" s="17" t="n"/>
    </row>
    <row r="7">
      <c r="A7" s="10" t="inlineStr">
        <is>
          <t>Full potential — low (BOPD)</t>
        </is>
      </c>
      <c r="B7" s="11" t="n">
        <v>4000</v>
      </c>
      <c r="C7" s="17" t="n"/>
      <c r="D7" s="17" t="n"/>
    </row>
    <row r="8">
      <c r="A8" s="10" t="inlineStr">
        <is>
          <t>Full potential — high (BOPD)</t>
        </is>
      </c>
      <c r="B8" s="11" t="n">
        <v>5500</v>
      </c>
      <c r="C8" s="17" t="n"/>
      <c r="D8" s="17" t="n"/>
    </row>
    <row r="9">
      <c r="A9" s="10" t="inlineStr">
        <is>
          <t>Capex bracket — low ($M)</t>
        </is>
      </c>
      <c r="B9" s="11" t="n">
        <v>2</v>
      </c>
      <c r="C9" s="17" t="n"/>
      <c r="D9" s="17" t="n"/>
    </row>
    <row r="10">
      <c r="A10" s="10" t="inlineStr">
        <is>
          <t>Capex bracket — high ($M)</t>
        </is>
      </c>
      <c r="B10" s="11" t="n">
        <v>28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4615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Med-High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Phase 1: complete WO on SY-175 &amp; SY-180 to recover 16,000 bwpd stranded capacity. Phase 2 (2027): Cluster #2 capacity uplift study based on Jan-2026 FCT. Phase 3: new WI well drilling if VRR confirms additional voidage to fill. Sector pressure recovery lifts Qo across ~30 R1/R2 producers. Saih Rawl analog (SPE 68222): ~12 % oil rate uplift per 30 % WI rate increase at mature waterflood stage.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Cluster #2 / SY-148 WS FCT (RM-mandated before SY-180 commissioning); G2V2 ML#5 forecast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§4.7 — Surface back-pressure optimization</t>
        </is>
      </c>
    </row>
    <row r="2">
      <c r="A2" s="2" t="inlineStr">
        <is>
          <t>Category: Surface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1500</v>
      </c>
      <c r="C5" s="17" t="n"/>
      <c r="D5" s="17" t="n"/>
    </row>
    <row r="6">
      <c r="A6" s="10" t="inlineStr">
        <is>
          <t>2026 realistic gain — high (BOPD)</t>
        </is>
      </c>
      <c r="B6" s="11" t="n">
        <v>2500</v>
      </c>
      <c r="C6" s="17" t="n"/>
      <c r="D6" s="17" t="n"/>
    </row>
    <row r="7">
      <c r="A7" s="10" t="inlineStr">
        <is>
          <t>Full potential — low (BOPD)</t>
        </is>
      </c>
      <c r="B7" s="11" t="n">
        <v>2300</v>
      </c>
      <c r="C7" s="17" t="n"/>
      <c r="D7" s="17" t="n"/>
    </row>
    <row r="8">
      <c r="A8" s="10" t="inlineStr">
        <is>
          <t>Full potential — high (BOPD)</t>
        </is>
      </c>
      <c r="B8" s="11" t="n">
        <v>3300</v>
      </c>
      <c r="C8" s="17" t="n"/>
      <c r="D8" s="17" t="n"/>
    </row>
    <row r="9">
      <c r="A9" s="10" t="inlineStr">
        <is>
          <t>Capex bracket — low ($M)</t>
        </is>
      </c>
      <c r="B9" s="11" t="n">
        <v>0.2</v>
      </c>
      <c r="C9" s="17" t="n"/>
      <c r="D9" s="17" t="n"/>
    </row>
    <row r="10">
      <c r="A10" s="10" t="inlineStr">
        <is>
          <t>Capex bracket — high ($M)</t>
        </is>
      </c>
      <c r="B10" s="11" t="n">
        <v>8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2050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Phase 1: Station header pressure setpoint review (CDS / RDS-1 / RDS-2). Each 10 psi separator pressure reduction across 80 R1 producers ≈ +800 BOPD. Phase 2: Selective flowline looping on 2-3 worst segments (&gt;200 psi/km ΔP). Phase 3: Choke-on-test vs production-choke alignment.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January-2026 FCT report; GAP/Prosper IPM model; WHIP/WHFP-vs-time per well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§4.6 — Produced-water redistribution + R1↔R2 rebalancing</t>
        </is>
      </c>
    </row>
    <row r="2">
      <c r="A2" s="2" t="inlineStr">
        <is>
          <t>Category: Subsurface / WI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2000</v>
      </c>
      <c r="C5" s="17" t="n"/>
      <c r="D5" s="17" t="n"/>
    </row>
    <row r="6">
      <c r="A6" s="10" t="inlineStr">
        <is>
          <t>2026 realistic gain — high (BOPD)</t>
        </is>
      </c>
      <c r="B6" s="11" t="n">
        <v>2400</v>
      </c>
      <c r="C6" s="17" t="n"/>
      <c r="D6" s="17" t="n"/>
    </row>
    <row r="7">
      <c r="A7" s="10" t="inlineStr">
        <is>
          <t>Full potential — low (BOPD)</t>
        </is>
      </c>
      <c r="B7" s="11" t="n">
        <v>2400</v>
      </c>
      <c r="C7" s="17" t="n"/>
      <c r="D7" s="17" t="n"/>
    </row>
    <row r="8">
      <c r="A8" s="10" t="inlineStr">
        <is>
          <t>Full potential — high (BOPD)</t>
        </is>
      </c>
      <c r="B8" s="11" t="n">
        <v>3200</v>
      </c>
      <c r="C8" s="17" t="n"/>
      <c r="D8" s="17" t="n"/>
    </row>
    <row r="9">
      <c r="A9" s="10" t="inlineStr">
        <is>
          <t>Capex bracket — low ($M)</t>
        </is>
      </c>
      <c r="B9" s="11" t="n">
        <v>0.5</v>
      </c>
      <c r="C9" s="17" t="n"/>
      <c r="D9" s="17" t="n"/>
    </row>
    <row r="10">
      <c r="A10" s="10" t="inlineStr">
        <is>
          <t>Capex bracket — high ($M)</t>
        </is>
      </c>
      <c r="B10" s="11" t="n">
        <v>1.5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455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(a) Tracer + integrity diagnosis on 139-SS and 145-SS (RM flagged R1→R2 water loss). (b) Rebalance injection: redirect 3,000-5,000 bwpd from R2 to R1. (c) Selective shut-in / rate reduction on 6 worst high-WC producers (&gt;85 % WC) to free PW capacity and improve sector VRR efficiency.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PW lab analysis (TDS, scaling, particulates, H₂S); injector PLT/CBL on 139-SS, 145-SS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§4.1 — Stimulation roll-out beyond Obj 1.1C</t>
        </is>
      </c>
    </row>
    <row r="2">
      <c r="A2" s="2" t="inlineStr">
        <is>
          <t>Category: Subsurface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2500</v>
      </c>
      <c r="C5" s="17" t="n"/>
      <c r="D5" s="17" t="n"/>
    </row>
    <row r="6">
      <c r="A6" s="10" t="inlineStr">
        <is>
          <t>2026 realistic gain — high (BOPD)</t>
        </is>
      </c>
      <c r="B6" s="11" t="n">
        <v>2500</v>
      </c>
      <c r="C6" s="17" t="n"/>
      <c r="D6" s="17" t="n"/>
    </row>
    <row r="7">
      <c r="A7" s="10" t="inlineStr">
        <is>
          <t>Full potential — low (BOPD)</t>
        </is>
      </c>
      <c r="B7" s="11" t="n">
        <v>5000</v>
      </c>
      <c r="C7" s="17" t="n"/>
      <c r="D7" s="17" t="n"/>
    </row>
    <row r="8">
      <c r="A8" s="10" t="inlineStr">
        <is>
          <t>Full potential — high (BOPD)</t>
        </is>
      </c>
      <c r="B8" s="11" t="n">
        <v>6000</v>
      </c>
      <c r="C8" s="17" t="n"/>
      <c r="D8" s="17" t="n"/>
    </row>
    <row r="9">
      <c r="A9" s="10" t="inlineStr">
        <is>
          <t>Capex bracket — low ($M)</t>
        </is>
      </c>
      <c r="B9" s="11" t="n">
        <v>8</v>
      </c>
      <c r="C9" s="17" t="n"/>
      <c r="D9" s="17" t="n"/>
    </row>
    <row r="10">
      <c r="A10" s="10" t="inlineStr">
        <is>
          <t>Capex bracket — high ($M)</t>
        </is>
      </c>
      <c r="B10" s="11" t="n">
        <v>12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4000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32+ R1 strings flagged 'Low intake / Low PIP / stim required' by RM. Obj 1.1C covers 5. Apply Naphtha+HCl recipe to 8-10 additional wells per year. Target wells with PI degradation D &gt; 30 %/yr (1.1C methodology). Average gain +150 to +400 BOPD per well, declining 30 %/yr.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Per-well PI screening across 32 stim candidates (extension of 1.1C dashboard)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§4.3 — VSD / PWS retrofit campaign</t>
        </is>
      </c>
    </row>
    <row r="2">
      <c r="A2" s="2" t="inlineStr">
        <is>
          <t>Category: Surface / Completion · Confidence: 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1600</v>
      </c>
      <c r="C5" s="17" t="n"/>
      <c r="D5" s="17" t="n"/>
    </row>
    <row r="6">
      <c r="A6" s="10" t="inlineStr">
        <is>
          <t>2026 realistic gain — high (BOPD)</t>
        </is>
      </c>
      <c r="B6" s="11" t="n">
        <v>1600</v>
      </c>
      <c r="C6" s="17" t="n"/>
      <c r="D6" s="17" t="n"/>
    </row>
    <row r="7">
      <c r="A7" s="10" t="inlineStr">
        <is>
          <t>Full potential — low (BOPD)</t>
        </is>
      </c>
      <c r="B7" s="11" t="n">
        <v>3300</v>
      </c>
      <c r="C7" s="17" t="n"/>
      <c r="D7" s="17" t="n"/>
    </row>
    <row r="8">
      <c r="A8" s="10" t="inlineStr">
        <is>
          <t>Full potential — high (BOPD)</t>
        </is>
      </c>
      <c r="B8" s="11" t="n">
        <v>5500</v>
      </c>
      <c r="C8" s="17" t="n"/>
      <c r="D8" s="17" t="n"/>
    </row>
    <row r="9">
      <c r="A9" s="10" t="inlineStr">
        <is>
          <t>Capex bracket — low ($M)</t>
        </is>
      </c>
      <c r="B9" s="11" t="n">
        <v>2.4</v>
      </c>
      <c r="C9" s="17" t="n"/>
      <c r="D9" s="17" t="n"/>
    </row>
    <row r="10">
      <c r="A10" s="10" t="inlineStr">
        <is>
          <t>Capex bracket — high ($M)</t>
        </is>
      </c>
      <c r="B10" s="11" t="n">
        <v>4.8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2250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22 strings flagged 'Low DP across choke / VSD required' — ESP-limited not reservoir-limited. Replace fixed-speed power with PWS-VSD; allows running at 55-60 Hz to push past choke-DP-limited operating point. Already proven on 10 Shah wells (SY-012, 019, 026, 035, 039, 097).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Power-system loading review (does Shah electrical infra support 8 more VSDs?)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§4.4 — ESP upsize where pump at max frequency</t>
        </is>
      </c>
    </row>
    <row r="2">
      <c r="A2" s="2" t="inlineStr">
        <is>
          <t>Category: Completion · Confidence: Medium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800</v>
      </c>
      <c r="C5" s="17" t="n"/>
      <c r="D5" s="17" t="n"/>
    </row>
    <row r="6">
      <c r="A6" s="10" t="inlineStr">
        <is>
          <t>2026 realistic gain — high (BOPD)</t>
        </is>
      </c>
      <c r="B6" s="11" t="n">
        <v>800</v>
      </c>
      <c r="C6" s="17" t="n"/>
      <c r="D6" s="17" t="n"/>
    </row>
    <row r="7">
      <c r="A7" s="10" t="inlineStr">
        <is>
          <t>Full potential — low (BOPD)</t>
        </is>
      </c>
      <c r="B7" s="11" t="n">
        <v>2800</v>
      </c>
      <c r="C7" s="17" t="n"/>
      <c r="D7" s="17" t="n"/>
    </row>
    <row r="8">
      <c r="A8" s="10" t="inlineStr">
        <is>
          <t>Full potential — high (BOPD)</t>
        </is>
      </c>
      <c r="B8" s="11" t="n">
        <v>2800</v>
      </c>
      <c r="C8" s="17" t="n"/>
      <c r="D8" s="17" t="n"/>
    </row>
    <row r="9">
      <c r="A9" s="10" t="inlineStr">
        <is>
          <t>Capex bracket — low ($M)</t>
        </is>
      </c>
      <c r="B9" s="11" t="n">
        <v>2</v>
      </c>
      <c r="C9" s="17" t="n"/>
      <c r="D9" s="17" t="n"/>
    </row>
    <row r="10">
      <c r="A10" s="10" t="inlineStr">
        <is>
          <t>Capex bracket — high ($M)</t>
        </is>
      </c>
      <c r="B10" s="11" t="n">
        <v>3.2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3250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Medium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14 strings already at 55-60 Hz with no headroom (SY-073, 088, 094, 099, 100, 113). During next workover install pump from one tier higher in catalog (TE3300 → TE5000, GN3200 → GN4000). Combine with VSD where not already present.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Per-well ESP design review; align with existing WO schedule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§4.2 — BHFP rate-cap relaxation via skin reduction / PVT relocalization</t>
        </is>
      </c>
    </row>
    <row r="2">
      <c r="A2" s="2" t="inlineStr">
        <is>
          <t>Category: Subsurface · Confidence: Med-High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900</v>
      </c>
      <c r="C5" s="17" t="n"/>
      <c r="D5" s="17" t="n"/>
    </row>
    <row r="6">
      <c r="A6" s="10" t="inlineStr">
        <is>
          <t>2026 realistic gain — high (BOPD)</t>
        </is>
      </c>
      <c r="B6" s="11" t="n">
        <v>900</v>
      </c>
      <c r="C6" s="17" t="n"/>
      <c r="D6" s="17" t="n"/>
    </row>
    <row r="7">
      <c r="A7" s="10" t="inlineStr">
        <is>
          <t>Full potential — low (BOPD)</t>
        </is>
      </c>
      <c r="B7" s="11" t="n">
        <v>1800</v>
      </c>
      <c r="C7" s="17" t="n"/>
      <c r="D7" s="17" t="n"/>
    </row>
    <row r="8">
      <c r="A8" s="10" t="inlineStr">
        <is>
          <t>Full potential — high (BOPD)</t>
        </is>
      </c>
      <c r="B8" s="11" t="n">
        <v>1800</v>
      </c>
      <c r="C8" s="17" t="n"/>
      <c r="D8" s="17" t="n"/>
    </row>
    <row r="9">
      <c r="A9" s="10" t="inlineStr">
        <is>
          <t>Capex bracket — low ($M)</t>
        </is>
      </c>
      <c r="B9" s="11" t="n">
        <v>0.2</v>
      </c>
      <c r="C9" s="17" t="n"/>
      <c r="D9" s="17" t="n"/>
    </row>
    <row r="10">
      <c r="A10" s="10" t="inlineStr">
        <is>
          <t>Capex bracket — high ($M)</t>
        </is>
      </c>
      <c r="B10" s="11" t="n">
        <v>0.5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389</v>
      </c>
      <c r="C11" s="17" t="n"/>
      <c r="D11" s="17" t="n"/>
    </row>
    <row r="12">
      <c r="A12" s="10" t="inlineStr">
        <is>
          <t>Confidence</t>
        </is>
      </c>
      <c r="B12" s="11" t="inlineStr">
        <is>
          <t>Med-High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12 strings explicitly capped at low rate to keep BHFP ≥ Pb+100 (SY-040, 058, 064, 085, 120, 132, 135, 014). Two paths: (a) skin reduction via stimulation reduces drawdown for same Qo; (b) per-well revisit of Pb assumption — for some R1 wells, local Pb may be lower than 392 psi.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GAP/Prosper IPM model; PVT relocalization study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§4.8 — Inactive-string reactivation acceleration</t>
        </is>
      </c>
    </row>
    <row r="2">
      <c r="A2" s="2" t="inlineStr">
        <is>
          <t>Category: Cross-cut Obj 1.1B · Confidence: High</t>
        </is>
      </c>
    </row>
    <row r="4" ht="26" customHeight="1">
      <c r="A4" s="4" t="inlineStr">
        <is>
          <t>QUANTIFICATION</t>
        </is>
      </c>
    </row>
    <row r="5">
      <c r="A5" s="10" t="inlineStr">
        <is>
          <t>2026 realistic gain — low (BOPD)</t>
        </is>
      </c>
      <c r="B5" s="11" t="n">
        <v>1000</v>
      </c>
      <c r="C5" s="17" t="n"/>
      <c r="D5" s="17" t="n"/>
    </row>
    <row r="6">
      <c r="A6" s="10" t="inlineStr">
        <is>
          <t>2026 realistic gain — high (BOPD)</t>
        </is>
      </c>
      <c r="B6" s="11" t="n">
        <v>1000</v>
      </c>
      <c r="C6" s="17" t="n"/>
      <c r="D6" s="17" t="n"/>
    </row>
    <row r="7">
      <c r="A7" s="10" t="inlineStr">
        <is>
          <t>Full potential — low (BOPD)</t>
        </is>
      </c>
      <c r="B7" s="11" t="n">
        <v>3920</v>
      </c>
      <c r="C7" s="17" t="n"/>
      <c r="D7" s="17" t="n"/>
    </row>
    <row r="8">
      <c r="A8" s="10" t="inlineStr">
        <is>
          <t>Full potential — high (BOPD)</t>
        </is>
      </c>
      <c r="B8" s="11" t="n">
        <v>3920</v>
      </c>
      <c r="C8" s="17" t="n"/>
      <c r="D8" s="17" t="n"/>
    </row>
    <row r="9">
      <c r="A9" s="10" t="inlineStr">
        <is>
          <t>Capex bracket — low ($M)</t>
        </is>
      </c>
      <c r="B9" s="11" t="n">
        <v>0.5</v>
      </c>
      <c r="C9" s="17" t="n"/>
      <c r="D9" s="17" t="n"/>
    </row>
    <row r="10">
      <c r="A10" s="10" t="inlineStr">
        <is>
          <t>Capex bracket — high ($M)</t>
        </is>
      </c>
      <c r="B10" s="11" t="n">
        <v>1</v>
      </c>
      <c r="C10" s="17" t="n"/>
      <c r="D10" s="17" t="n"/>
    </row>
    <row r="11">
      <c r="A11" s="10" t="inlineStr">
        <is>
          <t>Capex midpoint per BOPD gained ($/BOPD)</t>
        </is>
      </c>
      <c r="B11" s="11" t="n">
        <v>750</v>
      </c>
      <c r="C11" s="17" t="n"/>
      <c r="D11" s="17" t="n"/>
    </row>
    <row r="12">
      <c r="A12" s="10" t="inlineStr">
        <is>
          <t>Confidence</t>
        </is>
      </c>
      <c r="B12" s="11" t="inlineStr">
        <is>
          <t>High</t>
        </is>
      </c>
      <c r="C12" s="17" t="n"/>
      <c r="D12" s="17" t="n"/>
    </row>
    <row r="14" ht="26" customHeight="1">
      <c r="A14" s="4" t="inlineStr">
        <is>
          <t>MECHANISM</t>
        </is>
      </c>
    </row>
    <row r="15">
      <c r="A15" s="6" t="inlineStr">
        <is>
          <t>14 inactive strings totaling 3,920 BOPD allowable (SY-035 PWS, SY-097 tie-in, SY-098 downsize, SY-115/117 ESP repl, SY-093 SAP-B fix). Speed of execution is the lever — every quarter of acceleration ≈ +1,000 BOPD avg uplift over the year.</t>
        </is>
      </c>
    </row>
    <row r="16"/>
    <row r="17"/>
    <row r="18"/>
    <row r="19"/>
    <row r="20"/>
    <row r="22" ht="26" customHeight="1">
      <c r="A22" s="4" t="inlineStr">
        <is>
          <t>PREREQUISITE DATA / WORK</t>
        </is>
      </c>
    </row>
    <row r="23">
      <c r="A23" s="6" t="inlineStr">
        <is>
          <t>Coordination with Obj 1.1B inactive-string KPI track</t>
        </is>
      </c>
    </row>
    <row r="24"/>
    <row r="25"/>
    <row r="26"/>
  </sheetData>
  <mergeCells count="13">
    <mergeCell ref="B10:D10"/>
    <mergeCell ref="B11:D11"/>
    <mergeCell ref="B5:D5"/>
    <mergeCell ref="A22:D22"/>
    <mergeCell ref="A23:D26"/>
    <mergeCell ref="A4:D4"/>
    <mergeCell ref="B8:D8"/>
    <mergeCell ref="A15:D20"/>
    <mergeCell ref="B9:D9"/>
    <mergeCell ref="B12:D12"/>
    <mergeCell ref="B7:D7"/>
    <mergeCell ref="B6:D6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80" customWidth="1" min="3" max="3"/>
  </cols>
  <sheetData>
    <row r="1" ht="26" customHeight="1">
      <c r="A1" s="1" t="inlineStr">
        <is>
          <t>Data Gaps — Required for Final Quantification</t>
        </is>
      </c>
    </row>
    <row r="3" ht="26" customHeight="1">
      <c r="A3" s="4" t="inlineStr">
        <is>
          <t>RANKED BY IMPACT-ON-DELIVERABLE</t>
        </is>
      </c>
    </row>
    <row r="4">
      <c r="A4" s="9" t="inlineStr">
        <is>
          <t>Rank</t>
        </is>
      </c>
      <c r="B4" s="9" t="inlineStr">
        <is>
          <t>Item</t>
        </is>
      </c>
      <c r="C4" s="9" t="inlineStr">
        <is>
          <t>Why needed</t>
        </is>
      </c>
    </row>
    <row r="5">
      <c r="A5" s="19" t="n">
        <v>1</v>
      </c>
      <c r="B5" s="19" t="inlineStr">
        <is>
          <t>January-2026 FCT report</t>
        </is>
      </c>
      <c r="C5" s="20" t="inlineStr">
        <is>
          <t>Surface bottleneck quantification (§4.7) cannot move past estimate</t>
        </is>
      </c>
    </row>
    <row r="6">
      <c r="A6" s="22" t="n">
        <v>2</v>
      </c>
      <c r="B6" s="22" t="inlineStr">
        <is>
          <t>GAP/Prosper IPM surface model</t>
        </is>
      </c>
      <c r="C6" s="23" t="inlineStr">
        <is>
          <t>Needed to run back-pressure sensitivities</t>
        </is>
      </c>
    </row>
    <row r="7">
      <c r="A7" s="19" t="n">
        <v>3</v>
      </c>
      <c r="B7" s="19" t="inlineStr">
        <is>
          <t>G2V2 reservoir model — ML#5</t>
        </is>
      </c>
      <c r="C7" s="20" t="inlineStr">
        <is>
          <t>Needed to quantify §4.5 oil response and §4.6 R1/R2 rebalancing</t>
        </is>
      </c>
    </row>
    <row r="8">
      <c r="A8" s="22" t="n">
        <v>4</v>
      </c>
      <c r="B8" s="22" t="inlineStr">
        <is>
          <t>Cluster #2 / SY-148 WS FCT</t>
        </is>
      </c>
      <c r="C8" s="23" t="inlineStr">
        <is>
          <t>RM-mandated prerequisite for SY-180 commissioning (§4.5)</t>
        </is>
      </c>
    </row>
    <row r="9">
      <c r="A9" s="19" t="n">
        <v>5</v>
      </c>
      <c r="B9" s="19" t="inlineStr">
        <is>
          <t>PIDs / PFDs / vendor capacity sheets</t>
        </is>
      </c>
      <c r="C9" s="20" t="inlineStr">
        <is>
          <t>CDS, RDS-1, RDS-2, WI clusters</t>
        </is>
      </c>
    </row>
    <row r="10">
      <c r="A10" s="22" t="n">
        <v>6</v>
      </c>
      <c r="B10" s="22" t="inlineStr">
        <is>
          <t>Produced water lab analysis</t>
        </is>
      </c>
      <c r="C10" s="23" t="inlineStr">
        <is>
          <t>TDS, scaling, particulates, H₂S — needed for §4.6 design</t>
        </is>
      </c>
    </row>
    <row r="11">
      <c r="A11" s="19" t="n">
        <v>7</v>
      </c>
      <c r="B11" s="19" t="inlineStr">
        <is>
          <t>WHIP-vs-time and WHPP-vs-time per well</t>
        </is>
      </c>
      <c r="C11" s="20" t="inlineStr">
        <is>
          <t>Needed to validate flowline-restriction hypothesis (§4.7)</t>
        </is>
      </c>
    </row>
    <row r="12">
      <c r="A12" s="22" t="n">
        <v>8</v>
      </c>
      <c r="B12" s="22" t="inlineStr">
        <is>
          <t>Injector PLT / CBL logs (139-SS, 145-SS)</t>
        </is>
      </c>
      <c r="C12" s="23" t="inlineStr">
        <is>
          <t>Needed for §4.6 (a) integrity hypothesis</t>
        </is>
      </c>
    </row>
    <row r="13">
      <c r="A13" s="19" t="n">
        <v>9</v>
      </c>
      <c r="B13" s="19" t="inlineStr">
        <is>
          <t>Per-well PI screening across 32 stim candidates</t>
        </is>
      </c>
      <c r="C13" s="20" t="inlineStr">
        <is>
          <t>Extension of 1.1C methodology to scope §4.1</t>
        </is>
      </c>
    </row>
  </sheetData>
  <mergeCells count="1">
    <mergeCell ref="A3:C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4" customWidth="1" min="4" max="4"/>
    <col width="14" customWidth="1" min="5" max="5"/>
    <col width="24" customWidth="1" min="6" max="6"/>
  </cols>
  <sheetData>
    <row r="1" ht="26" customHeight="1">
      <c r="A1" s="1" t="inlineStr">
        <is>
          <t>Field-Level Totals from Q2-2026 Allowable file</t>
        </is>
      </c>
    </row>
    <row r="3" ht="26" customHeight="1">
      <c r="A3" s="4" t="inlineStr">
        <is>
          <t>OIL — TOTAL AT SHAH</t>
        </is>
      </c>
    </row>
    <row r="4">
      <c r="A4" s="9" t="inlineStr"/>
      <c r="B4" s="9" t="inlineStr">
        <is>
          <t>Allowable</t>
        </is>
      </c>
      <c r="C4" s="9" t="inlineStr">
        <is>
          <t>FTR (incl. inactive)</t>
        </is>
      </c>
      <c r="D4" s="9" t="inlineStr">
        <is>
          <t>FAR</t>
        </is>
      </c>
    </row>
    <row r="5">
      <c r="A5" s="10" t="inlineStr">
        <is>
          <t>Total at SHAH</t>
        </is>
      </c>
      <c r="B5" s="33" t="n">
        <v>76671</v>
      </c>
      <c r="C5" s="33" t="n">
        <v>79983</v>
      </c>
      <c r="D5" s="33" t="n">
        <v>75733</v>
      </c>
    </row>
    <row r="6">
      <c r="A6" s="13" t="inlineStr">
        <is>
          <t>Total at JD</t>
        </is>
      </c>
      <c r="B6" s="31" t="n">
        <v>69016</v>
      </c>
      <c r="C6" s="31" t="n">
        <v>73482</v>
      </c>
      <c r="D6" s="31" t="n">
        <v>68172</v>
      </c>
    </row>
    <row r="7">
      <c r="A7" s="10" t="inlineStr">
        <is>
          <t>Including Inactive — Allowable</t>
        </is>
      </c>
      <c r="B7" s="33" t="n">
        <v>80591</v>
      </c>
      <c r="C7" s="33" t="n">
        <v>79983</v>
      </c>
      <c r="D7" s="33" t="inlineStr">
        <is>
          <t>—</t>
        </is>
      </c>
    </row>
    <row r="10" ht="26" customHeight="1">
      <c r="A10" s="4" t="inlineStr">
        <is>
          <t>WATER INJECTION — TOTAL AT SHAH (bwpd)</t>
        </is>
      </c>
    </row>
    <row r="11">
      <c r="A11" s="9" t="inlineStr">
        <is>
          <t>Cluster</t>
        </is>
      </c>
      <c r="B11" s="9" t="inlineStr">
        <is>
          <t>Allowable w/ SY-175&amp;180</t>
        </is>
      </c>
      <c r="C11" s="9" t="inlineStr">
        <is>
          <t>Max w/o</t>
        </is>
      </c>
      <c r="D11" s="9" t="inlineStr">
        <is>
          <t>Tech rate</t>
        </is>
      </c>
      <c r="E11" s="9" t="inlineStr">
        <is>
          <t>Actual</t>
        </is>
      </c>
      <c r="F11" s="9" t="inlineStr">
        <is>
          <t>Notes</t>
        </is>
      </c>
    </row>
    <row r="12">
      <c r="A12" s="13" t="inlineStr">
        <is>
          <t>Cluster #1</t>
        </is>
      </c>
      <c r="B12" s="15" t="n">
        <v>26000</v>
      </c>
      <c r="C12" s="15" t="n">
        <v>26000</v>
      </c>
      <c r="D12" s="15" t="n">
        <v>42200</v>
      </c>
      <c r="E12" s="15" t="n">
        <v>34000</v>
      </c>
      <c r="F12" s="14" t="inlineStr">
        <is>
          <t>WI-C R1</t>
        </is>
      </c>
    </row>
    <row r="13">
      <c r="A13" s="10" t="inlineStr">
        <is>
          <t>Cluster #2</t>
        </is>
      </c>
      <c r="B13" s="12" t="n">
        <v>24600</v>
      </c>
      <c r="C13" s="12" t="n">
        <v>19000</v>
      </c>
      <c r="D13" s="12" t="n">
        <v>28800</v>
      </c>
      <c r="E13" s="12" t="n">
        <v>19000</v>
      </c>
      <c r="F13" s="11" t="inlineStr">
        <is>
          <t>WI-C+CN R1</t>
        </is>
      </c>
    </row>
    <row r="14">
      <c r="A14" s="13" t="inlineStr">
        <is>
          <t>WI to R2</t>
        </is>
      </c>
      <c r="B14" s="15" t="n">
        <v>25500</v>
      </c>
      <c r="C14" s="15" t="n">
        <v>27000</v>
      </c>
      <c r="D14" s="15" t="n">
        <v>34500</v>
      </c>
      <c r="E14" s="15" t="n">
        <v>27000</v>
      </c>
      <c r="F14" s="14" t="inlineStr"/>
    </row>
    <row r="15">
      <c r="A15" s="10" t="inlineStr">
        <is>
          <t>WI-C only R1</t>
        </is>
      </c>
      <c r="B15" s="12" t="n">
        <v>16100</v>
      </c>
      <c r="C15" s="12" t="n">
        <v>18000</v>
      </c>
      <c r="D15" s="12" t="n">
        <v>20500</v>
      </c>
      <c r="E15" s="12" t="n">
        <v>18000</v>
      </c>
      <c r="F15" s="11" t="inlineStr"/>
    </row>
    <row r="16">
      <c r="A16" s="13" t="inlineStr">
        <is>
          <t>WI-R1 C+CN</t>
        </is>
      </c>
      <c r="B16" s="15" t="n">
        <v>25100</v>
      </c>
      <c r="C16" s="15" t="n">
        <v>18000</v>
      </c>
      <c r="D16" s="15" t="inlineStr">
        <is>
          <t>—</t>
        </is>
      </c>
      <c r="E16" s="15" t="inlineStr">
        <is>
          <t>—</t>
        </is>
      </c>
      <c r="F16" s="14" t="inlineStr">
        <is>
          <t>Awaiting SY-175/180</t>
        </is>
      </c>
    </row>
    <row r="17">
      <c r="A17" s="29" t="inlineStr">
        <is>
          <t>Total</t>
        </is>
      </c>
      <c r="B17" s="30" t="n">
        <v>50600</v>
      </c>
      <c r="C17" s="30" t="n">
        <v>45000</v>
      </c>
      <c r="D17" s="30" t="n">
        <v>71000</v>
      </c>
      <c r="E17" s="30" t="n">
        <v>53000</v>
      </c>
      <c r="F17" s="29" t="inlineStr">
        <is>
          <t>Field-level</t>
        </is>
      </c>
    </row>
  </sheetData>
  <mergeCells count="2">
    <mergeCell ref="A10:F10"/>
    <mergeCell ref="A3:D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26" customHeight="1">
      <c r="A1" s="1" t="inlineStr">
        <is>
          <t>Q3-2026 Technical Workshop Agenda</t>
        </is>
      </c>
    </row>
    <row r="2">
      <c r="A2" s="2" t="inlineStr">
        <is>
          <t>Per KoM plan — bi-weekly progress meetings + Q3 Technical WS</t>
        </is>
      </c>
    </row>
    <row r="4" ht="26" customHeight="1">
      <c r="A4" s="4" t="inlineStr">
        <is>
          <t>AGENDA ITEMS</t>
        </is>
      </c>
    </row>
    <row r="5" ht="22" customHeight="1">
      <c r="A5" s="5" t="inlineStr">
        <is>
          <t>1.</t>
        </is>
      </c>
      <c r="B5" s="6" t="inlineStr">
        <is>
          <t>Validate the bottleneck classification (9 categories) against AON's own internal view</t>
        </is>
      </c>
    </row>
    <row r="6" ht="22" customHeight="1">
      <c r="A6" s="5" t="inlineStr">
        <is>
          <t>2.</t>
        </is>
      </c>
      <c r="B6" s="6" t="inlineStr">
        <is>
          <t>Confirm the FCT findings (once delivered) and align on §4.7 Surface back-pressure priorities</t>
        </is>
      </c>
    </row>
    <row r="7" ht="22" customHeight="1">
      <c r="A7" s="5" t="inlineStr">
        <is>
          <t>3.</t>
        </is>
      </c>
      <c r="B7" s="6" t="inlineStr">
        <is>
          <t>Decide on §4.6 tracer campaign scope — which WI/producer pairs (139-SS, 145-SS first)</t>
        </is>
      </c>
    </row>
    <row r="8" ht="22" customHeight="1">
      <c r="A8" s="5" t="inlineStr">
        <is>
          <t>4.</t>
        </is>
      </c>
      <c r="B8" s="6" t="inlineStr">
        <is>
          <t>Approve the §4.3 VSD retrofit shortlist and 2026 execution sequence</t>
        </is>
      </c>
    </row>
    <row r="9" ht="22" customHeight="1">
      <c r="A9" s="5" t="inlineStr">
        <is>
          <t>5.</t>
        </is>
      </c>
      <c r="B9" s="6" t="inlineStr">
        <is>
          <t>Align on §4.5 Phase 2 Cluster #2 uplift study scope and timing</t>
        </is>
      </c>
    </row>
    <row r="10" ht="22" customHeight="1">
      <c r="A10" s="5" t="inlineStr">
        <is>
          <t>6.</t>
        </is>
      </c>
      <c r="B10" s="6" t="inlineStr">
        <is>
          <t>Cross-reference §4.1 stim backlog with Obj 1.1C selected 5 to avoid double-counting</t>
        </is>
      </c>
    </row>
    <row r="11" ht="22" customHeight="1">
      <c r="A11" s="5" t="inlineStr">
        <is>
          <t>7.</t>
        </is>
      </c>
      <c r="B11" s="6" t="inlineStr">
        <is>
          <t>Workshop output: signed-off opportunity list with executive owners assigned per item</t>
        </is>
      </c>
    </row>
  </sheetData>
  <mergeCells count="1"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2026-05-19T16:08:39Z</dcterms:created>
  <dcterms:modified xsi:type="dcterms:W3CDTF">2026-05-19T16:08:39Z</dcterms:modified>
</cp:coreProperties>
</file>